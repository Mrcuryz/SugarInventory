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b371d7466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总览" sheetId="1" r:id="R88672e0a087c4a10"/>
    <x:sheet xmlns:r="http://schemas.openxmlformats.org/officeDocument/2006/relationships" name="原系统报价" sheetId="2" r:id="R75e6eab146d74ee3"/>
    <x:sheet xmlns:r="http://schemas.openxmlformats.org/officeDocument/2006/relationships" name="Agent报价" sheetId="3" r:id="R79eefa3c54de4f39"/>
    <x:sheet xmlns:r="http://schemas.openxmlformats.org/officeDocument/2006/relationships" name="身份与方案对比" sheetId="4" r:id="R3e6845c7adb54abf"/>
    <x:sheet xmlns:r="http://schemas.openxmlformats.org/officeDocument/2006/relationships" name="生产化缺口" sheetId="5" r:id="R3891f8d5a8de4091"/>
    <x:sheet xmlns:r="http://schemas.openxmlformats.org/officeDocument/2006/relationships" name="计价假设" sheetId="6" r:id="R21e97e97ffc44039"/>
    <x:sheet xmlns:r="http://schemas.openxmlformats.org/officeDocument/2006/relationships" name="依据与证据" sheetId="7" r:id="Ree487ef7ac614155"/>
    <x:sheet xmlns:r="http://schemas.openxmlformats.org/officeDocument/2006/relationships" name="使用说明" sheetId="8" r:id="Rf59a796a5c574a5e"/>
  </x:sheets>
</x:workbook>
</file>

<file path=xl/comments1.xml><?xml version="1.0" encoding="utf-8"?>
<x:comments xmlns:x="http://schemas.openxmlformats.org/spreadsheetml/2006/main">
  <x:authors>
    <x:author>tc={E7111302-E9A1-1AAA-1226-C9EFEFEC12C7}</x:author>
    <x:author>tc={7B0A60D7-B036-D18A-E231-84D122CEA3A4}</x:author>
    <x:author>tc={F9EB810E-EA18-7723-3D3D-5F5683461E25}</x:author>
  </x:authors>
  <x:commentList>
    <x:comment ref="B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此折扣用于整体签约示例。拆分采购、需求不明确或甲方流程复杂时，应降低折扣或取消折扣。</x:t>
        </x:r>
      </x:text>
    </x:comment>
    <x:comment ref="B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6%仅作公司一般纳税人现代服务含税报价演示。最终以实际开票项目、纳税人资格和合同约定为准。</x:t>
        </x:r>
      </x:text>
    </x:comment>
    <x:comment ref="B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3%是个人对外报价时的综合预留，并不等同于确定税率；自然人代开、个税及附加可能因地区、次数和所得性质不同而变化。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¥&quot;#,##0;[Red](&quot;¥&quot;#,##0);-"/>
    <x:numFmt numFmtId="201" formatCode="0.0%"/>
    <x:numFmt numFmtId="202" formatCode="#,##0"/>
    <x:numFmt numFmtId="203" formatCode="0.00"/>
  </x:numFmts>
  <x:fonts count="2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sz val="9"/>
      <x:name val="Carlito"/>
    </x:font>
    <x:font>
      <x:sz val="9"/>
      <x:color rgb="FF1F2937"/>
      <x:name val="Carlito"/>
    </x:font>
    <x:font>
      <x:sz val="10"/>
      <x:name val="Carlito"/>
    </x:font>
    <x:font>
      <x:b/>
      <x:sz val="10"/>
      <x:color rgb="FF17324D"/>
      <x:name val="Carlito"/>
    </x:font>
    <x:font>
      <x:b/>
      <x:sz val="10"/>
      <x:color rgb="FF2F855A"/>
      <x:name val="Carlito"/>
    </x:font>
    <x:font>
      <x:b/>
      <x:sz val="9"/>
      <x:name val="Carlito"/>
    </x:font>
    <x:font>
      <x:b/>
      <x:sz val="9"/>
      <x:color rgb="FFB42318"/>
      <x:name val="Carlito"/>
    </x:font>
    <x:font>
      <x:b/>
      <x:sz val="9"/>
      <x:color rgb="FF2F855A"/>
      <x:name val="Carlito"/>
    </x:font>
    <x:font>
      <x:b/>
      <x:sz val="11"/>
      <x:color rgb="FFB42318"/>
      <x:name val="Carlito"/>
    </x:font>
    <x:font>
      <x:sz val="10"/>
      <x:color rgb="FF1F2937"/>
      <x:name val="Carlito"/>
    </x:font>
    <x:font>
      <x:b/>
      <x:sz val="18"/>
      <x:color rgb="FFFFFFFF"/>
      <x:name val="Microsoft YaHei"/>
    </x:font>
    <x:font>
      <x:sz val="11"/>
      <x:name val="Microsoft YaHei"/>
    </x:font>
    <x:font>
      <x:i/>
      <x:sz val="10"/>
      <x:color rgb="FF667085"/>
      <x:name val="Microsoft YaHei"/>
    </x:font>
    <x:font>
      <x:b/>
      <x:sz val="11"/>
      <x:color rgb="FFFFFFFF"/>
      <x:name val="Microsoft YaHei"/>
    </x:font>
    <x:font>
      <x:b/>
      <x:sz val="10"/>
      <x:color rgb="FF17324D"/>
      <x:name val="Microsoft YaHei"/>
    </x:font>
    <x:font>
      <x:sz val="10"/>
      <x:name val="Microsoft YaHei"/>
    </x:font>
    <x:font>
      <x:b/>
      <x:sz val="10"/>
      <x:color rgb="FF2F855A"/>
      <x:name val="Microsoft YaHei"/>
    </x:font>
    <x:font>
      <x:sz val="9"/>
      <x:name val="Microsoft YaHei"/>
    </x:font>
    <x:font>
      <x:b/>
      <x:sz val="9"/>
      <x:name val="Microsoft YaHei"/>
    </x:font>
    <x:font>
      <x:b/>
      <x:sz val="9"/>
      <x:color rgb="FFB42318"/>
      <x:name val="Microsoft YaHei"/>
    </x:font>
    <x:font>
      <x:b/>
      <x:sz val="9"/>
      <x:color rgb="FF2F855A"/>
      <x:name val="Microsoft YaHei"/>
    </x:font>
    <x:font>
      <x:sz val="9"/>
      <x:color rgb="FF1F2937"/>
      <x:name val="Microsoft YaHei"/>
    </x:font>
    <x:font>
      <x:b/>
      <x:sz val="11"/>
      <x:color rgb="FFB42318"/>
      <x:name val="Microsoft YaHei"/>
    </x:font>
    <x:font>
      <x:sz val="10"/>
      <x:color rgb="FF1F2937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7FA"/>
      </x:patternFill>
    </x:fill>
    <x:fill>
      <x:patternFill patternType="solid">
        <x:fgColor rgb="FF2878B5"/>
      </x:patternFill>
    </x:fill>
    <x:fill>
      <x:patternFill patternType="solid">
        <x:fgColor rgb="FFFFF2CC"/>
      </x:patternFill>
    </x:fill>
    <x:fill>
      <x:patternFill patternType="solid">
        <x:fgColor rgb="FFE8F1FB"/>
      </x:patternFill>
    </x:fill>
    <x:fill>
      <x:patternFill patternType="solid">
        <x:fgColor rgb="FFE6F4EA"/>
      </x:patternFill>
    </x:fill>
    <x:fill>
      <x:patternFill patternType="solid">
        <x:fgColor rgb="FFFDE9E7"/>
      </x:patternFill>
    </x:fill>
  </x:fills>
  <x:borders count="11">
    <x:border/>
    <x:border>
      <x:right style="thin">
        <x:color rgb="FFA9C4D8"/>
      </x:right>
    </x:border>
    <x:border>
      <x:left style="thin">
        <x:color rgb="FFA9C4D8"/>
      </x:left>
      <x:right style="thin">
        <x:color rgb="FFA9C4D8"/>
      </x:right>
    </x:border>
    <x:border>
      <x:left style="thin">
        <x:color rgb="FFA9C4D8"/>
      </x:left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bottom style="double">
        <x:color rgb="FF17324D"/>
      </x:bottom>
    </x:border>
    <x:border>
      <x:left style="medium">
        <x:color rgb="FF2F855A"/>
      </x:left>
      <x:top style="medium">
        <x:color rgb="FF2F855A"/>
      </x:top>
      <x:bottom style="medium">
        <x:color rgb="FF2F855A"/>
      </x:bottom>
    </x:border>
    <x:border>
      <x:top style="medium">
        <x:color rgb="FF2F855A"/>
      </x:top>
      <x:bottom style="medium">
        <x:color rgb="FF2F855A"/>
      </x:bottom>
    </x:border>
    <x:border>
      <x:right style="medium">
        <x:color rgb="FF2F855A"/>
      </x:right>
      <x:top style="medium">
        <x:color rgb="FF2F855A"/>
      </x:top>
      <x:bottom style="medium">
        <x:color rgb="FF2F855A"/>
      </x:bottom>
    </x:border>
    <x:border>
      <x:top style="thin">
        <x:color rgb="FFD0D5DD"/>
      </x:top>
      <x:bottom style="double">
        <x:color rgb="FF17324D"/>
      </x:bottom>
    </x:border>
  </x:borders>
  <x:cellStyleXfs count="1">
    <x:xf numFmtId="0" fontId="0" fillId="0" borderId="0"/>
  </x:cellStyleXfs>
  <x:cellXfs count="2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0" fontId="0" fillId="5" borderId="0" xfId="0" applyNumberFormat="1" applyFont="1" applyFill="1" applyBorder="1" applyAlignment="1">
      <x:alignment horizontal="right"/>
    </x:xf>
    <x:xf numFmtId="201" fontId="0" fillId="5" borderId="0" xfId="0" applyNumberFormat="1" applyFont="1" applyFill="1" applyBorder="1"/>
    <x:xf numFmtId="201" fontId="0" fillId="5" borderId="0" xfId="0" applyNumberFormat="1" applyFont="1" applyFill="1" applyBorder="1" applyAlignment="1">
      <x:alignment horizontal="right"/>
    </x:xf>
    <x:xf numFmtId="202" fontId="0" fillId="5" borderId="0" xfId="0" applyNumberFormat="1" applyFont="1" applyFill="1" applyBorder="1"/>
    <x:xf numFmtId="202" fontId="0" fillId="5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right"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right" vertical="top" wrapText="1"/>
    </x:xf>
    <x:xf numFmtId="0" fontId="5" fillId="6" borderId="0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horizontal="right" vertical="top" wrapText="1"/>
    </x:xf>
    <x:xf numFmtId="203" fontId="5" fillId="0" borderId="0" xfId="0" applyNumberFormat="1" applyFont="1" applyFill="1" applyBorder="1" applyAlignment="1">
      <x:alignment horizontal="right" vertical="top" wrapText="1"/>
    </x:xf>
    <x:xf numFmtId="203" fontId="5" fillId="6" borderId="0" xfId="0" applyNumberFormat="1" applyFont="1" applyFill="1" applyBorder="1" applyAlignment="1">
      <x:alignment horizontal="right" vertical="top" wrapText="1"/>
    </x:xf>
    <x:xf numFmtId="200" fontId="5" fillId="5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horizontal="right" vertical="top" wrapText="1"/>
    </x:xf>
    <x:xf numFmtId="200" fontId="5" fillId="6" borderId="0" xfId="0" applyNumberFormat="1" applyFont="1" applyFill="1" applyBorder="1" applyAlignment="1">
      <x:alignment horizontal="right" vertical="top" wrapText="1"/>
    </x:xf>
    <x:xf numFmtId="201" fontId="5" fillId="6" borderId="0" xfId="0" applyNumberFormat="1" applyFont="1" applyFill="1" applyBorder="1" applyAlignment="1">
      <x:alignment vertical="top" wrapText="1"/>
    </x:xf>
    <x:xf numFmtId="201" fontId="5" fillId="6" borderId="0" xfId="0" applyNumberFormat="1" applyFont="1" applyFill="1" applyBorder="1" applyAlignment="1">
      <x:alignment horizontal="right"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4" xfId="0" applyNumberFormat="1" applyFont="1" applyFill="1" applyBorder="1" applyAlignment="1">
      <x:alignment vertical="top" wrapText="1"/>
    </x:xf>
    <x:xf numFmtId="202" fontId="5" fillId="0" borderId="4" xfId="0" applyNumberFormat="1" applyFont="1" applyFill="1" applyBorder="1" applyAlignment="1">
      <x:alignment horizontal="right" vertical="top" wrapText="1"/>
    </x:xf>
    <x:xf numFmtId="203" fontId="5" fillId="0" borderId="4" xfId="0" applyNumberFormat="1" applyFont="1" applyFill="1" applyBorder="1" applyAlignment="1">
      <x:alignment horizontal="right" vertical="top" wrapText="1"/>
    </x:xf>
    <x:xf numFmtId="203" fontId="5" fillId="6" borderId="4" xfId="0" applyNumberFormat="1" applyFont="1" applyFill="1" applyBorder="1" applyAlignment="1">
      <x:alignment horizontal="right" vertical="top" wrapText="1"/>
    </x:xf>
    <x:xf numFmtId="200" fontId="5" fillId="5" borderId="4" xfId="0" applyNumberFormat="1" applyFont="1" applyFill="1" applyBorder="1" applyAlignment="1">
      <x:alignment horizontal="right" vertical="top" wrapText="1"/>
    </x:xf>
    <x:xf numFmtId="200" fontId="5" fillId="6" borderId="4" xfId="0" applyNumberFormat="1" applyFont="1" applyFill="1" applyBorder="1" applyAlignment="1">
      <x:alignment horizontal="right" vertical="top" wrapText="1"/>
    </x:xf>
    <x:xf numFmtId="201" fontId="5" fillId="6" borderId="4" xfId="0" applyNumberFormat="1" applyFont="1" applyFill="1" applyBorder="1" applyAlignment="1">
      <x:alignment horizontal="right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vertical="top" wrapText="1"/>
    </x:xf>
    <x:xf numFmtId="202" fontId="5" fillId="0" borderId="5" xfId="0" applyNumberFormat="1" applyFont="1" applyFill="1" applyBorder="1" applyAlignment="1">
      <x:alignment horizontal="right" vertical="top" wrapText="1"/>
    </x:xf>
    <x:xf numFmtId="203" fontId="5" fillId="0" borderId="5" xfId="0" applyNumberFormat="1" applyFont="1" applyFill="1" applyBorder="1" applyAlignment="1">
      <x:alignment horizontal="right" vertical="top" wrapText="1"/>
    </x:xf>
    <x:xf numFmtId="203" fontId="5" fillId="6" borderId="5" xfId="0" applyNumberFormat="1" applyFont="1" applyFill="1" applyBorder="1" applyAlignment="1">
      <x:alignment horizontal="right" vertical="top" wrapText="1"/>
    </x:xf>
    <x:xf numFmtId="200" fontId="5" fillId="5" borderId="5" xfId="0" applyNumberFormat="1" applyFont="1" applyFill="1" applyBorder="1" applyAlignment="1">
      <x:alignment horizontal="right" vertical="top" wrapText="1"/>
    </x:xf>
    <x:xf numFmtId="200" fontId="5" fillId="6" borderId="5" xfId="0" applyNumberFormat="1" applyFont="1" applyFill="1" applyBorder="1" applyAlignment="1">
      <x:alignment horizontal="right" vertical="top" wrapText="1"/>
    </x:xf>
    <x:xf numFmtId="201" fontId="5" fillId="6" borderId="5" xfId="0" applyNumberFormat="1" applyFont="1" applyFill="1" applyBorder="1" applyAlignment="1">
      <x:alignment horizontal="right" vertical="top" wrapText="1"/>
    </x:xf>
    <x:xf numFmtId="0" fontId="3" fillId="2" borderId="0" xfId="0" applyNumberFormat="1" applyFont="1" applyFill="1" applyBorder="1"/>
    <x:xf numFmtId="0" fontId="3" fillId="2" borderId="6" xfId="0" applyNumberFormat="1" applyFont="1" applyFill="1" applyBorder="1"/>
    <x:xf numFmtId="202" fontId="3" fillId="2" borderId="6" xfId="0" applyNumberFormat="1" applyFont="1" applyFill="1" applyBorder="1"/>
    <x:xf numFmtId="202" fontId="3" fillId="2" borderId="6" xfId="0" applyNumberFormat="1" applyFont="1" applyFill="1" applyBorder="1" applyAlignment="1">
      <x:alignment horizontal="right"/>
    </x:xf>
    <x:xf numFmtId="203" fontId="3" fillId="2" borderId="6" xfId="0" applyNumberFormat="1" applyFont="1" applyFill="1" applyBorder="1"/>
    <x:xf numFmtId="200" fontId="3" fillId="2" borderId="6" xfId="0" applyNumberFormat="1" applyFont="1" applyFill="1" applyBorder="1"/>
    <x:xf numFmtId="200" fontId="3" fillId="2" borderId="6" xfId="0" applyNumberFormat="1" applyFont="1" applyFill="1" applyBorder="1" applyAlignment="1">
      <x:alignment horizontal="right"/>
    </x:xf>
    <x:xf numFmtId="201" fontId="3" fillId="2" borderId="6" xfId="0" applyNumberFormat="1" applyFont="1" applyFill="1" applyBorder="1"/>
    <x:xf numFmtId="201" fontId="3" fillId="2" borderId="6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200" fontId="6" fillId="6" borderId="0" xfId="0" applyNumberFormat="1" applyFont="1" applyFill="1" applyBorder="1" applyAlignment="1">
      <x:alignment vertical="center" wrapText="1"/>
    </x:xf>
    <x:xf numFmtId="200" fontId="6" fillId="6" borderId="0" xfId="0" applyNumberFormat="1" applyFont="1" applyFill="1" applyBorder="1" applyAlignment="1">
      <x:alignment horizontal="right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6" fillId="6" borderId="4" xfId="0" applyNumberFormat="1" applyFont="1" applyFill="1" applyBorder="1" applyAlignment="1">
      <x:alignment horizontal="right"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6" fillId="6" borderId="5" xfId="0" applyNumberFormat="1" applyFont="1" applyFill="1" applyBorder="1" applyAlignment="1">
      <x:alignment horizontal="right"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200" fontId="6" fillId="7" borderId="5" xfId="0" applyNumberFormat="1" applyFont="1" applyFill="1" applyBorder="1" applyAlignment="1">
      <x:alignment horizontal="right"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8" fillId="7" borderId="5" xfId="0" applyNumberFormat="1" applyFont="1" applyFill="1" applyBorder="1" applyAlignment="1">
      <x:alignment vertical="center" wrapText="1"/>
    </x:xf>
    <x:xf numFmtId="200" fontId="8" fillId="7" borderId="5" xfId="0" applyNumberFormat="1" applyFont="1" applyFill="1" applyBorder="1" applyAlignment="1">
      <x:alignment horizontal="right" vertical="center" wrapText="1"/>
    </x:xf>
    <x:xf numFmtId="0" fontId="8" fillId="7" borderId="7" xfId="0" applyNumberFormat="1" applyFont="1" applyFill="1" applyBorder="1" applyAlignment="1">
      <x:alignment vertical="center" wrapText="1"/>
    </x:xf>
    <x:xf numFmtId="200" fontId="8" fillId="7" borderId="8" xfId="0" applyNumberFormat="1" applyFont="1" applyFill="1" applyBorder="1" applyAlignment="1">
      <x:alignment horizontal="right"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right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horizontal="right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horizontal="right" vertical="center" wrapText="1"/>
    </x:xf>
    <x:xf numFmtId="0" fontId="0" fillId="2" borderId="5" xfId="0" applyNumberFormat="1" applyFont="1" applyFill="1" applyBorder="1" applyAlignment="1">
      <x:alignment vertical="center" wrapText="1"/>
    </x:xf>
    <x:xf numFmtId="200" fontId="0" fillId="2" borderId="5" xfId="0" applyNumberFormat="1" applyFont="1" applyFill="1" applyBorder="1" applyAlignment="1">
      <x:alignment horizontal="right"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200" fontId="3" fillId="2" borderId="5" xfId="0" applyNumberFormat="1" applyFont="1" applyFill="1" applyBorder="1" applyAlignment="1">
      <x:alignment horizontal="right" vertical="center" wrapText="1"/>
    </x:xf>
    <x:xf numFmtId="0" fontId="3" fillId="2" borderId="10" xfId="0" applyNumberFormat="1" applyFont="1" applyFill="1" applyBorder="1" applyAlignment="1">
      <x:alignment vertical="center" wrapText="1"/>
    </x:xf>
    <x:xf numFmtId="200" fontId="3" fillId="2" borderId="10" xfId="0" applyNumberFormat="1" applyFont="1" applyFill="1" applyBorder="1" applyAlignment="1">
      <x:alignment horizontal="right" vertical="center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8" borderId="5" xfId="0" applyNumberFormat="1" applyFont="1" applyFill="1" applyBorder="1" applyAlignment="1">
      <x:alignment vertical="top" wrapText="1"/>
    </x:xf>
    <x:xf numFmtId="0" fontId="10" fillId="8" borderId="5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horizontal="right"/>
    </x:xf>
    <x:xf numFmtId="200" fontId="4" fillId="6" borderId="0" xfId="0" applyNumberFormat="1" applyFont="1" applyFill="1" applyBorder="1" applyAlignment="1">
      <x:alignment horizontal="right"/>
    </x:xf>
    <x:xf numFmtId="200" fontId="4" fillId="6" borderId="0" xfId="0" applyNumberFormat="1" applyFont="1" applyFill="1" applyBorder="1" applyAlignment="1">
      <x:alignment horizontal="right" wrapText="1"/>
    </x:xf>
    <x:xf numFmtId="200" fontId="4" fillId="6" borderId="0" xfId="0" applyNumberFormat="1" applyFont="1" applyFill="1" applyBorder="1" applyAlignment="1">
      <x:alignment horizontal="right" vertical="top" wrapText="1"/>
    </x:xf>
    <x:xf numFmtId="200" fontId="4" fillId="6" borderId="4" xfId="0" applyNumberFormat="1" applyFont="1" applyFill="1" applyBorder="1" applyAlignment="1">
      <x:alignment horizontal="right" vertical="top" wrapText="1"/>
    </x:xf>
    <x:xf numFmtId="200" fontId="4" fillId="6" borderId="5" xfId="0" applyNumberFormat="1" applyFont="1" applyFill="1" applyBorder="1" applyAlignment="1">
      <x:alignment horizontal="right" vertical="top" wrapText="1"/>
    </x:xf>
    <x:xf numFmtId="0" fontId="4" fillId="7" borderId="5" xfId="0" applyNumberFormat="1" applyFont="1" applyFill="1" applyBorder="1" applyAlignment="1">
      <x:alignment vertical="top" wrapText="1"/>
    </x:xf>
    <x:xf numFmtId="200" fontId="4" fillId="7" borderId="5" xfId="0" applyNumberFormat="1" applyFont="1" applyFill="1" applyBorder="1" applyAlignment="1">
      <x:alignment horizontal="right" vertical="top" wrapText="1"/>
    </x:xf>
    <x:xf numFmtId="0" fontId="11" fillId="7" borderId="5" xfId="0" applyNumberFormat="1" applyFont="1" applyFill="1" applyBorder="1" applyAlignment="1">
      <x:alignment vertical="top" wrapText="1"/>
    </x:xf>
    <x:xf numFmtId="200" fontId="11" fillId="7" borderId="5" xfId="0" applyNumberFormat="1" applyFont="1" applyFill="1" applyBorder="1" applyAlignment="1">
      <x:alignment horizontal="right" vertical="top" wrapText="1"/>
    </x:xf>
    <x:xf numFmtId="0" fontId="11" fillId="7" borderId="7" xfId="0" applyNumberFormat="1" applyFont="1" applyFill="1" applyBorder="1" applyAlignment="1">
      <x:alignment vertical="top" wrapText="1"/>
    </x:xf>
    <x:xf numFmtId="200" fontId="11" fillId="7" borderId="8" xfId="0" applyNumberFormat="1" applyFont="1" applyFill="1" applyBorder="1" applyAlignment="1">
      <x:alignment horizontal="right" vertical="top" wrapText="1"/>
    </x:xf>
    <x:xf numFmtId="0" fontId="11" fillId="7" borderId="8" xfId="0" applyNumberFormat="1" applyFont="1" applyFill="1" applyBorder="1" applyAlignment="1">
      <x:alignment vertical="top" wrapText="1"/>
    </x:xf>
    <x:xf numFmtId="0" fontId="11" fillId="7" borderId="9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/>
    </x:xf>
    <x:xf numFmtId="201" fontId="4" fillId="0" borderId="0" xfId="0" applyNumberFormat="1" applyFont="1" applyFill="1" applyBorder="1" applyAlignment="1">
      <x:alignment horizontal="right"/>
    </x:xf>
    <x:xf numFmtId="202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 wrapText="1"/>
    </x:xf>
    <x:xf numFmtId="201" fontId="4" fillId="0" borderId="0" xfId="0" applyNumberFormat="1" applyFont="1" applyFill="1" applyBorder="1" applyAlignment="1">
      <x:alignment horizontal="right" wrapText="1"/>
    </x:xf>
    <x:xf numFmtId="202" fontId="4" fillId="0" borderId="0" xfId="0" applyNumberFormat="1" applyFont="1" applyFill="1" applyBorder="1" applyAlignment="1">
      <x:alignment horizontal="right" wrapText="1"/>
    </x:xf>
    <x:xf numFmtId="200" fontId="4" fillId="0" borderId="0" xfId="0" applyNumberFormat="1" applyFont="1" applyFill="1" applyBorder="1" applyAlignment="1">
      <x:alignment horizontal="right" vertical="top" wrapText="1"/>
    </x:xf>
    <x:xf numFmtId="201" fontId="4" fillId="0" borderId="0" xfId="0" applyNumberFormat="1" applyFont="1" applyFill="1" applyBorder="1" applyAlignment="1">
      <x:alignment horizontal="right" vertical="top" wrapText="1"/>
    </x:xf>
    <x:xf numFmtId="202" fontId="4" fillId="0" borderId="0" xfId="0" applyNumberFormat="1" applyFont="1" applyFill="1" applyBorder="1" applyAlignment="1">
      <x:alignment horizontal="right" vertical="top" wrapText="1"/>
    </x:xf>
    <x:xf numFmtId="200" fontId="4" fillId="0" borderId="4" xfId="0" applyNumberFormat="1" applyFont="1" applyFill="1" applyBorder="1" applyAlignment="1">
      <x:alignment horizontal="right" vertical="top" wrapText="1"/>
    </x:xf>
    <x:xf numFmtId="201" fontId="4" fillId="0" borderId="5" xfId="0" applyNumberFormat="1" applyFont="1" applyFill="1" applyBorder="1" applyAlignment="1">
      <x:alignment horizontal="right" vertical="top" wrapText="1"/>
    </x:xf>
    <x:xf numFmtId="202" fontId="4" fillId="0" borderId="5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0" fontId="4" fillId="6" borderId="5" xfId="0" applyNumberFormat="1" applyFont="1" applyFill="1" applyBorder="1" applyAlignment="1">
      <x:alignment vertical="top" wrapText="1"/>
    </x:xf>
    <x:xf numFmtId="201" fontId="4" fillId="6" borderId="5" xfId="0" applyNumberFormat="1" applyFont="1" applyFill="1" applyBorder="1" applyAlignment="1">
      <x:alignment horizontal="right" vertical="top" wrapText="1"/>
    </x:xf>
    <x:xf numFmtId="202" fontId="4" fillId="6" borderId="5" xfId="0" applyNumberFormat="1" applyFont="1" applyFill="1" applyBorder="1" applyAlignment="1">
      <x:alignment horizontal="right" vertical="top" wrapText="1"/>
    </x:xf>
    <x:xf numFmtId="0" fontId="4" fillId="6" borderId="4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horizontal="right" vertical="top" wrapText="1"/>
    </x:xf>
    <x:xf numFmtId="203" fontId="4" fillId="0" borderId="4" xfId="0" applyNumberFormat="1" applyFont="1" applyFill="1" applyBorder="1" applyAlignment="1">
      <x:alignment vertical="top" wrapText="1"/>
    </x:xf>
    <x:xf numFmtId="203" fontId="4" fillId="6" borderId="4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3" fontId="4" fillId="6" borderId="5" xfId="0" applyNumberFormat="1" applyFont="1" applyFill="1" applyBorder="1" applyAlignment="1">
      <x:alignment vertical="top" wrapText="1"/>
    </x:xf>
    <x:xf numFmtId="200" fontId="4" fillId="6" borderId="4" xfId="0" applyNumberFormat="1" applyFont="1" applyFill="1" applyBorder="1" applyAlignment="1">
      <x:alignment vertical="top" wrapText="1"/>
    </x:xf>
    <x:xf numFmtId="200" fontId="4" fillId="6" borderId="5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16" fillId="3" borderId="0" xfId="0" applyNumberFormat="1" applyFont="1" applyFill="1" applyBorder="1" applyAlignment="1">
      <x:alignment vertical="center" wrapText="1"/>
    </x:xf>
    <x:xf numFmtId="0" fontId="17" fillId="4" borderId="1" xfId="0" applyNumberFormat="1" applyFont="1" applyFill="1" applyBorder="1" applyAlignment="1">
      <x:alignment horizontal="center" vertical="center" wrapText="1"/>
    </x:xf>
    <x:xf numFmtId="0" fontId="17" fillId="4" borderId="2" xfId="0" applyNumberFormat="1" applyFont="1" applyFill="1" applyBorder="1" applyAlignment="1">
      <x:alignment horizontal="center" vertical="center" wrapText="1"/>
    </x:xf>
    <x:xf numFmtId="0" fontId="17" fillId="4" borderId="3" xfId="0" applyNumberFormat="1" applyFont="1" applyFill="1" applyBorder="1" applyAlignment="1">
      <x:alignment horizontal="center" vertical="center" wrapText="1"/>
    </x:xf>
    <x:xf numFmtId="0" fontId="18" fillId="0" borderId="4" xfId="0" applyNumberFormat="1" applyFont="1" applyFill="1" applyBorder="1" applyAlignment="1">
      <x:alignment vertical="center" wrapText="1"/>
    </x:xf>
    <x:xf numFmtId="200" fontId="19" fillId="6" borderId="4" xfId="0" applyNumberFormat="1" applyFont="1" applyFill="1" applyBorder="1" applyAlignment="1">
      <x:alignment horizontal="right" vertical="center" wrapText="1"/>
    </x:xf>
    <x:xf numFmtId="0" fontId="19" fillId="0" borderId="4" xfId="0" applyNumberFormat="1" applyFont="1" applyFill="1" applyBorder="1" applyAlignment="1">
      <x:alignment vertical="center" wrapText="1"/>
    </x:xf>
    <x:xf numFmtId="0" fontId="18" fillId="0" borderId="5" xfId="0" applyNumberFormat="1" applyFont="1" applyFill="1" applyBorder="1" applyAlignment="1">
      <x:alignment vertical="center" wrapText="1"/>
    </x:xf>
    <x:xf numFmtId="200" fontId="19" fillId="6" borderId="5" xfId="0" applyNumberFormat="1" applyFont="1" applyFill="1" applyBorder="1" applyAlignment="1">
      <x:alignment horizontal="right" vertical="center" wrapText="1"/>
    </x:xf>
    <x:xf numFmtId="0" fontId="19" fillId="0" borderId="5" xfId="0" applyNumberFormat="1" applyFont="1" applyFill="1" applyBorder="1" applyAlignment="1">
      <x:alignment vertical="center" wrapText="1"/>
    </x:xf>
    <x:xf numFmtId="0" fontId="20" fillId="7" borderId="7" xfId="0" applyNumberFormat="1" applyFont="1" applyFill="1" applyBorder="1" applyAlignment="1">
      <x:alignment vertical="center" wrapText="1"/>
    </x:xf>
    <x:xf numFmtId="200" fontId="20" fillId="7" borderId="8" xfId="0" applyNumberFormat="1" applyFont="1" applyFill="1" applyBorder="1" applyAlignment="1">
      <x:alignment horizontal="right" vertical="center" wrapText="1"/>
    </x:xf>
    <x:xf numFmtId="0" fontId="20" fillId="7" borderId="9" xfId="0" applyNumberFormat="1" applyFont="1" applyFill="1" applyBorder="1" applyAlignment="1">
      <x:alignment vertical="center" wrapText="1"/>
    </x:xf>
    <x:xf numFmtId="0" fontId="15" fillId="0" borderId="4" xfId="0" applyNumberFormat="1" applyFont="1" applyFill="1" applyBorder="1" applyAlignment="1">
      <x:alignment vertical="center" wrapText="1"/>
    </x:xf>
    <x:xf numFmtId="200" fontId="15" fillId="0" borderId="4" xfId="0" applyNumberFormat="1" applyFont="1" applyFill="1" applyBorder="1" applyAlignment="1">
      <x:alignment horizontal="right" vertical="center" wrapText="1"/>
    </x:xf>
    <x:xf numFmtId="0" fontId="15" fillId="0" borderId="5" xfId="0" applyNumberFormat="1" applyFont="1" applyFill="1" applyBorder="1" applyAlignment="1">
      <x:alignment vertical="center" wrapText="1"/>
    </x:xf>
    <x:xf numFmtId="200" fontId="15" fillId="0" borderId="5" xfId="0" applyNumberFormat="1" applyFont="1" applyFill="1" applyBorder="1" applyAlignment="1">
      <x:alignment horizontal="right" vertical="center" wrapText="1"/>
    </x:xf>
    <x:xf numFmtId="0" fontId="17" fillId="2" borderId="10" xfId="0" applyNumberFormat="1" applyFont="1" applyFill="1" applyBorder="1" applyAlignment="1">
      <x:alignment vertical="center" wrapText="1"/>
    </x:xf>
    <x:xf numFmtId="200" fontId="17" fillId="2" borderId="10" xfId="0" applyNumberFormat="1" applyFont="1" applyFill="1" applyBorder="1" applyAlignment="1">
      <x:alignment horizontal="right" vertical="center" wrapText="1"/>
    </x:xf>
    <x:xf numFmtId="0" fontId="21" fillId="0" borderId="4" xfId="0" applyNumberFormat="1" applyFont="1" applyFill="1" applyBorder="1" applyAlignment="1">
      <x:alignment vertical="top" wrapText="1"/>
    </x:xf>
    <x:xf numFmtId="0" fontId="22" fillId="0" borderId="4" xfId="0" applyNumberFormat="1" applyFont="1" applyFill="1" applyBorder="1" applyAlignment="1">
      <x:alignment vertical="top" wrapText="1"/>
    </x:xf>
    <x:xf numFmtId="0" fontId="21" fillId="0" borderId="5" xfId="0" applyNumberFormat="1" applyFont="1" applyFill="1" applyBorder="1" applyAlignment="1">
      <x:alignment vertical="top" wrapText="1"/>
    </x:xf>
    <x:xf numFmtId="0" fontId="22" fillId="0" borderId="5" xfId="0" applyNumberFormat="1" applyFont="1" applyFill="1" applyBorder="1" applyAlignment="1">
      <x:alignment vertical="top" wrapText="1"/>
    </x:xf>
    <x:xf numFmtId="0" fontId="23" fillId="8" borderId="5" xfId="0" applyNumberFormat="1" applyFont="1" applyFill="1" applyBorder="1" applyAlignment="1">
      <x:alignment vertical="top" wrapText="1"/>
    </x:xf>
    <x:xf numFmtId="200" fontId="21" fillId="6" borderId="4" xfId="0" applyNumberFormat="1" applyFont="1" applyFill="1" applyBorder="1" applyAlignment="1">
      <x:alignment horizontal="right" vertical="top" wrapText="1"/>
    </x:xf>
    <x:xf numFmtId="0" fontId="24" fillId="7" borderId="7" xfId="0" applyNumberFormat="1" applyFont="1" applyFill="1" applyBorder="1" applyAlignment="1">
      <x:alignment vertical="top" wrapText="1"/>
    </x:xf>
    <x:xf numFmtId="200" fontId="24" fillId="7" borderId="8" xfId="0" applyNumberFormat="1" applyFont="1" applyFill="1" applyBorder="1" applyAlignment="1">
      <x:alignment horizontal="right" vertical="top" wrapText="1"/>
    </x:xf>
    <x:xf numFmtId="0" fontId="24" fillId="7" borderId="8" xfId="0" applyNumberFormat="1" applyFont="1" applyFill="1" applyBorder="1" applyAlignment="1">
      <x:alignment vertical="top" wrapText="1"/>
    </x:xf>
    <x:xf numFmtId="0" fontId="24" fillId="7" borderId="9" xfId="0" applyNumberFormat="1" applyFont="1" applyFill="1" applyBorder="1" applyAlignment="1">
      <x:alignment vertical="top" wrapText="1"/>
    </x:xf>
    <x:xf numFmtId="200" fontId="21" fillId="6" borderId="5" xfId="0" applyNumberFormat="1" applyFont="1" applyFill="1" applyBorder="1" applyAlignment="1">
      <x:alignment horizontal="right" vertical="top" wrapText="1"/>
    </x:xf>
    <x:xf numFmtId="0" fontId="25" fillId="0" borderId="4" xfId="0" applyNumberFormat="1" applyFont="1" applyFill="1" applyBorder="1" applyAlignment="1">
      <x:alignment horizontal="center" vertical="top" wrapText="1"/>
    </x:xf>
    <x:xf numFmtId="0" fontId="25" fillId="0" borderId="4" xfId="0" applyNumberFormat="1" applyFont="1" applyFill="1" applyBorder="1" applyAlignment="1">
      <x:alignment vertical="top" wrapText="1"/>
    </x:xf>
    <x:xf numFmtId="202" fontId="25" fillId="0" borderId="4" xfId="0" applyNumberFormat="1" applyFont="1" applyFill="1" applyBorder="1" applyAlignment="1">
      <x:alignment horizontal="right" vertical="top" wrapText="1"/>
    </x:xf>
    <x:xf numFmtId="203" fontId="25" fillId="0" borderId="4" xfId="0" applyNumberFormat="1" applyFont="1" applyFill="1" applyBorder="1" applyAlignment="1">
      <x:alignment horizontal="right" vertical="top" wrapText="1"/>
    </x:xf>
    <x:xf numFmtId="203" fontId="25" fillId="6" borderId="4" xfId="0" applyNumberFormat="1" applyFont="1" applyFill="1" applyBorder="1" applyAlignment="1">
      <x:alignment horizontal="right" vertical="top" wrapText="1"/>
    </x:xf>
    <x:xf numFmtId="200" fontId="25" fillId="5" borderId="4" xfId="0" applyNumberFormat="1" applyFont="1" applyFill="1" applyBorder="1" applyAlignment="1">
      <x:alignment horizontal="right" vertical="top" wrapText="1"/>
    </x:xf>
    <x:xf numFmtId="200" fontId="25" fillId="6" borderId="4" xfId="0" applyNumberFormat="1" applyFont="1" applyFill="1" applyBorder="1" applyAlignment="1">
      <x:alignment horizontal="right" vertical="top" wrapText="1"/>
    </x:xf>
    <x:xf numFmtId="201" fontId="25" fillId="6" borderId="4" xfId="0" applyNumberFormat="1" applyFont="1" applyFill="1" applyBorder="1" applyAlignment="1">
      <x:alignment horizontal="right" vertical="top" wrapText="1"/>
    </x:xf>
    <x:xf numFmtId="0" fontId="25" fillId="0" borderId="5" xfId="0" applyNumberFormat="1" applyFont="1" applyFill="1" applyBorder="1" applyAlignment="1">
      <x:alignment horizontal="center" vertical="top" wrapText="1"/>
    </x:xf>
    <x:xf numFmtId="0" fontId="25" fillId="0" borderId="5" xfId="0" applyNumberFormat="1" applyFont="1" applyFill="1" applyBorder="1" applyAlignment="1">
      <x:alignment vertical="top" wrapText="1"/>
    </x:xf>
    <x:xf numFmtId="202" fontId="25" fillId="0" borderId="5" xfId="0" applyNumberFormat="1" applyFont="1" applyFill="1" applyBorder="1" applyAlignment="1">
      <x:alignment horizontal="right" vertical="top" wrapText="1"/>
    </x:xf>
    <x:xf numFmtId="203" fontId="25" fillId="0" borderId="5" xfId="0" applyNumberFormat="1" applyFont="1" applyFill="1" applyBorder="1" applyAlignment="1">
      <x:alignment horizontal="right" vertical="top" wrapText="1"/>
    </x:xf>
    <x:xf numFmtId="203" fontId="25" fillId="6" borderId="5" xfId="0" applyNumberFormat="1" applyFont="1" applyFill="1" applyBorder="1" applyAlignment="1">
      <x:alignment horizontal="right" vertical="top" wrapText="1"/>
    </x:xf>
    <x:xf numFmtId="200" fontId="25" fillId="5" borderId="5" xfId="0" applyNumberFormat="1" applyFont="1" applyFill="1" applyBorder="1" applyAlignment="1">
      <x:alignment horizontal="right" vertical="top" wrapText="1"/>
    </x:xf>
    <x:xf numFmtId="200" fontId="25" fillId="6" borderId="5" xfId="0" applyNumberFormat="1" applyFont="1" applyFill="1" applyBorder="1" applyAlignment="1">
      <x:alignment horizontal="right" vertical="top" wrapText="1"/>
    </x:xf>
    <x:xf numFmtId="201" fontId="25" fillId="6" borderId="5" xfId="0" applyNumberFormat="1" applyFont="1" applyFill="1" applyBorder="1" applyAlignment="1">
      <x:alignment horizontal="right" vertical="top" wrapText="1"/>
    </x:xf>
    <x:xf numFmtId="0" fontId="17" fillId="2" borderId="6" xfId="0" applyNumberFormat="1" applyFont="1" applyFill="1" applyBorder="1"/>
    <x:xf numFmtId="202" fontId="17" fillId="2" borderId="6" xfId="0" applyNumberFormat="1" applyFont="1" applyFill="1" applyBorder="1" applyAlignment="1">
      <x:alignment horizontal="right"/>
    </x:xf>
    <x:xf numFmtId="203" fontId="17" fillId="2" borderId="6" xfId="0" applyNumberFormat="1" applyFont="1" applyFill="1" applyBorder="1"/>
    <x:xf numFmtId="200" fontId="17" fillId="2" borderId="6" xfId="0" applyNumberFormat="1" applyFont="1" applyFill="1" applyBorder="1" applyAlignment="1">
      <x:alignment horizontal="right"/>
    </x:xf>
    <x:xf numFmtId="201" fontId="17" fillId="2" borderId="6" xfId="0" applyNumberFormat="1" applyFont="1" applyFill="1" applyBorder="1" applyAlignment="1">
      <x:alignment horizontal="right"/>
    </x:xf>
    <x:xf numFmtId="0" fontId="21" fillId="6" borderId="5" xfId="0" applyNumberFormat="1" applyFont="1" applyFill="1" applyBorder="1" applyAlignment="1">
      <x:alignment vertical="top" wrapText="1"/>
    </x:xf>
    <x:xf numFmtId="201" fontId="21" fillId="6" borderId="5" xfId="0" applyNumberFormat="1" applyFont="1" applyFill="1" applyBorder="1" applyAlignment="1">
      <x:alignment horizontal="right" vertical="top" wrapText="1"/>
    </x:xf>
    <x:xf numFmtId="202" fontId="21" fillId="6" borderId="5" xfId="0" applyNumberFormat="1" applyFont="1" applyFill="1" applyBorder="1" applyAlignment="1">
      <x:alignment horizontal="right" vertical="top" wrapText="1"/>
    </x:xf>
    <x:xf numFmtId="202" fontId="21" fillId="0" borderId="4" xfId="0" applyNumberFormat="1" applyFont="1" applyFill="1" applyBorder="1" applyAlignment="1">
      <x:alignment horizontal="right" vertical="top" wrapText="1"/>
    </x:xf>
    <x:xf numFmtId="203" fontId="21" fillId="0" borderId="4" xfId="0" applyNumberFormat="1" applyFont="1" applyFill="1" applyBorder="1" applyAlignment="1">
      <x:alignment vertical="top" wrapText="1"/>
    </x:xf>
    <x:xf numFmtId="203" fontId="21" fillId="6" borderId="4" xfId="0" applyNumberFormat="1" applyFont="1" applyFill="1" applyBorder="1" applyAlignment="1">
      <x:alignment vertical="top" wrapText="1"/>
    </x:xf>
    <x:xf numFmtId="202" fontId="21" fillId="0" borderId="5" xfId="0" applyNumberFormat="1" applyFont="1" applyFill="1" applyBorder="1" applyAlignment="1">
      <x:alignment horizontal="right" vertical="top" wrapText="1"/>
    </x:xf>
    <x:xf numFmtId="203" fontId="21" fillId="0" borderId="5" xfId="0" applyNumberFormat="1" applyFont="1" applyFill="1" applyBorder="1" applyAlignment="1">
      <x:alignment vertical="top" wrapText="1"/>
    </x:xf>
    <x:xf numFmtId="203" fontId="21" fillId="6" borderId="5" xfId="0" applyNumberFormat="1" applyFont="1" applyFill="1" applyBorder="1" applyAlignment="1">
      <x:alignment vertical="top" wrapText="1"/>
    </x:xf>
    <x:xf numFmtId="0" fontId="26" fillId="8" borderId="0" xfId="0" applyNumberFormat="1" applyFont="1" applyFill="1" applyBorder="1" applyAlignment="1">
      <x:alignment vertical="center" wrapText="1"/>
    </x:xf>
    <x:xf numFmtId="200" fontId="15" fillId="5" borderId="0" xfId="0" applyNumberFormat="1" applyFont="1" applyFill="1" applyBorder="1" applyAlignment="1">
      <x:alignment horizontal="right"/>
    </x:xf>
    <x:xf numFmtId="201" fontId="15" fillId="5" borderId="0" xfId="0" applyNumberFormat="1" applyFont="1" applyFill="1" applyBorder="1" applyAlignment="1">
      <x:alignment horizontal="right"/>
    </x:xf>
    <x:xf numFmtId="202" fontId="15" fillId="5" borderId="0" xfId="0" applyNumberFormat="1" applyFont="1" applyFill="1" applyBorder="1" applyAlignment="1">
      <x:alignment horizontal="right"/>
    </x:xf>
    <x:xf numFmtId="0" fontId="17" fillId="2" borderId="0" xfId="0" applyNumberFormat="1" applyFont="1" applyFill="1" applyBorder="1"/>
    <x:xf numFmtId="0" fontId="27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2F855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2F855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df2dec8534c4b" /><Relationship Type="http://schemas.openxmlformats.org/officeDocument/2006/relationships/theme" Target="/xl/theme/theme1.xml" Id="Rb5206adfba5342a0" /><Relationship Type="http://schemas.openxmlformats.org/officeDocument/2006/relationships/sharedStrings" Target="/xl/sharedStrings.xml" Id="Rbf8b888d70754de8" /><Relationship Type="http://schemas.openxmlformats.org/officeDocument/2006/relationships/worksheet" Target="/xl/worksheets/sheet1.xml" Id="R88672e0a087c4a10" /><Relationship Type="http://schemas.openxmlformats.org/officeDocument/2006/relationships/worksheet" Target="/xl/worksheets/sheet2.xml" Id="R75e6eab146d74ee3" /><Relationship Type="http://schemas.openxmlformats.org/officeDocument/2006/relationships/worksheet" Target="/xl/worksheets/sheet3.xml" Id="R79eefa3c54de4f39" /><Relationship Type="http://schemas.openxmlformats.org/officeDocument/2006/relationships/worksheet" Target="/xl/worksheets/sheet4.xml" Id="R3e6845c7adb54abf" /><Relationship Type="http://schemas.openxmlformats.org/officeDocument/2006/relationships/worksheet" Target="/xl/worksheets/sheet5.xml" Id="R3891f8d5a8de4091" /><Relationship Type="http://schemas.openxmlformats.org/officeDocument/2006/relationships/worksheet" Target="/xl/worksheets/sheet6.xml" Id="R21e97e97ffc44039" /><Relationship Type="http://schemas.openxmlformats.org/officeDocument/2006/relationships/worksheet" Target="/xl/worksheets/sheet7.xml" Id="Ree487ef7ac614155" /><Relationship Type="http://schemas.openxmlformats.org/officeDocument/2006/relationships/worksheet" Target="/xl/worksheets/sheet8.xml" Id="Rf59a796a5c574a5e" /><Relationship Type="http://schemas.microsoft.com/office/2017/10/relationships/person" Target="/xl/persons/person.xml" Id="R23cb5a7c650846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baf5d92c5f4f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公司与个人建议签约价（按系统部分）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公司签约价（含税）</c:v>
          </c:tx>
          <c:cat>
            <c:strRef>
              <c:f>'报价总览'!$A$11:$A$12</c:f>
              <c:strCache>
                <c:ptCount val="0"/>
              </c:strCache>
            </c:strRef>
          </c:cat>
          <c:val>
            <c:numRef>
              <c:f>'报价总览'!$B$11:$B$12</c:f>
              <c:numCache>
                <c:formatCode>"¥"#,##0;[Red]("¥"#,##0);-</c:formatCode>
                <c:ptCount val="0"/>
              </c:numCache>
            </c:numRef>
          </c:val>
        </c:ser>
        <c:ser>
          <c:idx val="1"/>
          <c:order val="1"/>
          <c:tx>
            <c:v>个人签约价（含预留）</c:v>
          </c:tx>
          <c:cat>
            <c:strRef>
              <c:f>'报价总览'!$A$11:$A$12</c:f>
              <c:strCache>
                <c:ptCount val="0"/>
              </c:strCache>
            </c:strRef>
          </c:cat>
          <c:val>
            <c:numRef>
              <c:f>'报价总览'!$C$11:$C$12</c:f>
              <c:numCache>
                <c:formatCode>"¥"#,##0;[Red]("¥"#,##0);-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baf5d92c5f4f8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BC126960-BDB0-468E-A600-0C40F7DFF46F}"/>
</xltc:personList>
</file>

<file path=xl/tables/table1.xml><?xml version="1.0" encoding="utf-8"?>
<x:table xmlns:x="http://schemas.openxmlformats.org/spreadsheetml/2006/main" id="1" name="OriginalFeatureTable" displayName="OriginalFeatureTable" ref="A4:T18" headerRowCount="1" totalsRowCount="0" totalsRowShown="0">
  <x:tableColumns count="20">
    <x:tableColumn id="1" name="编号"/>
    <x:tableColumn id="2" name="系统部分"/>
    <x:tableColumn id="3" name="功能模块"/>
    <x:tableColumn id="4" name="当前成熟度"/>
    <x:tableColumn id="5" name="业务价值"/>
    <x:tableColumn id="6" name="当前如何实现"/>
    <x:tableColumn id="7" name="功能意义"/>
    <x:tableColumn id="8" name="基础人天"/>
    <x:tableColumn id="9" name="复杂度系数"/>
    <x:tableColumn id="10" name="加权人天"/>
    <x:tableColumn id="11" name="公司日费率"/>
    <x:tableColumn id="12" name="公司基准价"/>
    <x:tableColumn id="13" name="公司签约价分摊"/>
    <x:tableColumn id="14" name="公司价值占比"/>
    <x:tableColumn id="15" name="个人日费率"/>
    <x:tableColumn id="16" name="个人基准价"/>
    <x:tableColumn id="17" name="个人签约价分摊"/>
    <x:tableColumn id="18" name="个人价值占比"/>
    <x:tableColumn id="19" name="报价边界/风险"/>
    <x:tableColumn id="20" name="交付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ntFeatureTable" displayName="AgentFeatureTable" ref="A4:T17" headerRowCount="1" totalsRowCount="0" totalsRowShown="0">
  <x:tableColumns count="20">
    <x:tableColumn id="1" name="编号"/>
    <x:tableColumn id="2" name="系统部分"/>
    <x:tableColumn id="3" name="功能模块"/>
    <x:tableColumn id="4" name="当前成熟度"/>
    <x:tableColumn id="5" name="业务价值"/>
    <x:tableColumn id="6" name="当前如何实现"/>
    <x:tableColumn id="7" name="功能意义"/>
    <x:tableColumn id="8" name="基础人天"/>
    <x:tableColumn id="9" name="复杂度系数"/>
    <x:tableColumn id="10" name="加权人天"/>
    <x:tableColumn id="11" name="公司日费率"/>
    <x:tableColumn id="12" name="公司基准价"/>
    <x:tableColumn id="13" name="公司签约价分摊"/>
    <x:tableColumn id="14" name="公司价值占比"/>
    <x:tableColumn id="15" name="个人日费率"/>
    <x:tableColumn id="16" name="个人基准价"/>
    <x:tableColumn id="17" name="个人签约价分摊"/>
    <x:tableColumn id="18" name="个人价值占比"/>
    <x:tableColumn id="19" name="报价边界/风险"/>
    <x:tableColumn id="20" name="交付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9" dT="2026-08-13T13:01:02.836" personId="{BC126960-BDB0-468E-A600-0C40F7DFF46F}" id="{E7111302-E9A1-1AAA-1226-C9EFEFEC12C7}">
    <xltc:text>此折扣用于整体签约示例。拆分采购、需求不明确或甲方流程复杂时，应降低折扣或取消折扣。</xltc:text>
  </xltc:threadedComment>
  <xltc:threadedComment ref="B11" dT="2026-08-13T13:01:02.839" personId="{BC126960-BDB0-468E-A600-0C40F7DFF46F}" id="{7B0A60D7-B036-D18A-E231-84D122CEA3A4}">
    <xltc:text>6%仅作公司一般纳税人现代服务含税报价演示。最终以实际开票项目、纳税人资格和合同约定为准。</xltc:text>
  </xltc:threadedComment>
  <xltc:threadedComment ref="B12" dT="2026-08-13T13:01:02.839" personId="{BC126960-BDB0-468E-A600-0C40F7DFF46F}" id="{F9EB810E-EA18-7723-3D3D-5F5683461E25}">
    <xltc:text>3%是个人对外报价时的综合预留，并不等同于确定税率；自然人代开、个税及附加可能因地区、次数和所得性质不同而变化。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3e28f0802546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189f6b0eeb49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8c9ce0977f48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1.xml" Id="R22e30f43506e4d8a" /><Relationship Type="http://schemas.openxmlformats.org/officeDocument/2006/relationships/vmlDrawing" Target="/xl/drawings/vmldrawing.vml" Id="R61d201f1d7154210" /><Relationship Type="http://schemas.microsoft.com/office/2017/10/relationships/threadedComment" Target="/xl/threadedcomments/threadedcomment.xml" Id="R8c8e531fe4e944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2" hidden="0" customWidth="1"/>
    <x:col min="3" max="3" width="22" hidden="0" customWidth="1"/>
    <x:col min="4" max="4" width="52" hidden="0" customWidth="1"/>
    <x:col min="5" max="5" width="43" hidden="0" customWidth="1"/>
    <x:col min="6" max="6" width="4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</x:cols>
  <x:sheetData>
    <x:row r="1" ht="32" customHeight="1">
      <x:c r="A1" s="168" t="str">
        <x:v>来宾智能仓储系统｜功能价值与报价评估</x:v>
      </x:c>
      <x:c r="B1" s="169"/>
      <x:c r="C1" s="169"/>
      <x:c r="D1" s="169"/>
      <x:c r="E1" s="169"/>
      <x:c r="F1" s="169"/>
    </x:row>
    <x:row r="2" ht="34" customHeight="1">
      <x:c r="A2" s="170" t="str">
        <x:v>评估基准日：2026-08-13｜口径：基于当前代码与验收证据的“等价重置开发价值”+生产化缺口预算；人民币，含税/开票口径按主体区分。</x:v>
      </x:c>
      <x:c r="B2" s="169"/>
      <x:c r="C2" s="169"/>
      <x:c r="D2" s="169"/>
      <x:c r="E2" s="169"/>
      <x:c r="F2" s="169"/>
    </x:row>
    <x:row r="3">
      <x:c r="A3" s="169"/>
      <x:c r="B3" s="169"/>
      <x:c r="C3" s="169"/>
      <x:c r="D3" s="169"/>
      <x:c r="E3" s="169"/>
      <x:c r="F3" s="169"/>
    </x:row>
    <x:row r="4" ht="15" hidden="0" customHeight="1">
      <x:c r="A4" s="171" t="str">
        <x:v>核心结论</x:v>
      </x:c>
      <x:c r="B4" s="172" t="str">
        <x:v>公司主体（含税）</x:v>
      </x:c>
      <x:c r="C4" s="172" t="str">
        <x:v>个人开发者（含3%预留）</x:v>
      </x:c>
      <x:c r="D4" s="173" t="str">
        <x:v>说明</x:v>
      </x:c>
      <x:c r="E4" s="169"/>
      <x:c r="F4" s="169"/>
    </x:row>
    <x:row r="5" ht="15" hidden="0" customHeight="1">
      <x:c r="A5" s="174" t="str">
        <x:v>原系统建议签约价</x:v>
      </x:c>
      <x:c r="B5" s="175" t="n">
        <x:f>'原系统报价'!M19</x:f>
        <x:v>1351490</x:v>
      </x:c>
      <x:c r="C5" s="175" t="n">
        <x:f>'原系统报价'!Q19</x:f>
        <x:v>799301</x:v>
      </x:c>
      <x:c r="D5" s="176" t="str">
        <x:v>原WMS/生产/质量/小程序/打印/部署与测试的整体重置交付价。</x:v>
      </x:c>
      <x:c r="E5" s="169"/>
      <x:c r="F5" s="169"/>
    </x:row>
    <x:row r="6" ht="36" hidden="0" customHeight="1">
      <x:c r="A6" s="177" t="str">
        <x:v>Agent建议签约价</x:v>
      </x:c>
      <x:c r="B6" s="178" t="n">
        <x:f>'Agent报价'!M18</x:f>
        <x:v>2059926</x:v>
      </x:c>
      <x:c r="C6" s="178" t="n">
        <x:f>'Agent报价'!Q18</x:f>
        <x:v>1210768</x:v>
      </x:c>
      <x:c r="D6" s="179" t="str">
        <x:v>Agent Runtime、Gateway/MCP、专家工具、报表、RAG、预览、安全与评测的整体重置交付价。</x:v>
      </x:c>
      <x:c r="E6" s="169"/>
      <x:c r="F6" s="169"/>
    </x:row>
    <x:row r="7" ht="15" hidden="0" customHeight="1">
      <x:c r="A7" s="180" t="str">
        <x:v>软件整体建议签约价</x:v>
      </x:c>
      <x:c r="B7" s="181" t="n">
        <x:f>SUM(B5:B6)</x:f>
        <x:v>3411416</x:v>
      </x:c>
      <x:c r="C7" s="181" t="n">
        <x:f>SUM(C5:C6)</x:f>
        <x:v>2010069</x:v>
      </x:c>
      <x:c r="D7" s="182" t="str">
        <x:v>建议对外锚点；整体采购折扣已通过计价假设自动计算。</x:v>
      </x:c>
      <x:c r="E7" s="169"/>
      <x:c r="F7" s="169"/>
    </x:row>
    <x:row r="8" ht="15" hidden="0" customHeight="1">
      <x:c r="A8" s="177" t="str">
        <x:v>生产化缺口另行预算</x:v>
      </x:c>
      <x:c r="B8" s="178" t="n">
        <x:f>'生产化缺口'!K16</x:f>
        <x:v>514995</x:v>
      </x:c>
      <x:c r="C8" s="178" t="n">
        <x:f>'生产化缺口'!L16</x:f>
        <x:v>309955</x:v>
      </x:c>
      <x:c r="D8" s="179" t="str">
        <x:v>不包含在软件重置价内，只有确需生产化时才投入；详见缺口表。</x:v>
      </x:c>
      <x:c r="E8" s="169"/>
      <x:c r="F8" s="169"/>
    </x:row>
    <x:row r="9">
      <x:c r="A9" s="169"/>
      <x:c r="B9" s="169"/>
      <x:c r="C9" s="169"/>
      <x:c r="D9" s="169"/>
      <x:c r="E9" s="169"/>
      <x:c r="F9" s="169"/>
    </x:row>
    <x:row r="10" ht="15" hidden="0" customHeight="1">
      <x:c r="A10" s="171" t="str">
        <x:v>系统部分</x:v>
      </x:c>
      <x:c r="B10" s="172" t="str">
        <x:v>公司签约价（含税）</x:v>
      </x:c>
      <x:c r="C10" s="172" t="str">
        <x:v>个人签约价（含预留）</x:v>
      </x:c>
      <x:c r="D10" s="172" t="str">
        <x:v>公司基准价</x:v>
      </x:c>
      <x:c r="E10" s="172" t="str">
        <x:v>个人裸价基准</x:v>
      </x:c>
      <x:c r="F10" s="173" t="str">
        <x:v>定位</x:v>
      </x:c>
    </x:row>
    <x:row r="11" ht="15" hidden="0" customHeight="1">
      <x:c r="A11" s="183" t="str">
        <x:v>原系统</x:v>
      </x:c>
      <x:c r="B11" s="184" t="n">
        <x:f>'原系统报价'!M19</x:f>
        <x:v>1351490</x:v>
      </x:c>
      <x:c r="C11" s="184" t="n">
        <x:f>'原系统报价'!Q19</x:f>
        <x:v>799301</x:v>
      </x:c>
      <x:c r="D11" s="184" t="n">
        <x:f>'原系统报价'!L19</x:f>
        <x:v>1469010</x:v>
      </x:c>
      <x:c r="E11" s="184" t="n">
        <x:f>'原系统报价'!P19</x:f>
        <x:v>862245</x:v>
      </x:c>
      <x:c r="F11" s="183" t="str">
        <x:v>业务交易与现场数字化底座</x:v>
      </x:c>
    </x:row>
    <x:row r="12" ht="15" hidden="0" customHeight="1">
      <x:c r="A12" s="185" t="str">
        <x:v>Agent</x:v>
      </x:c>
      <x:c r="B12" s="186" t="n">
        <x:f>'Agent报价'!M18</x:f>
        <x:v>2059926</x:v>
      </x:c>
      <x:c r="C12" s="186" t="n">
        <x:f>'Agent报价'!Q18</x:f>
        <x:v>1210768</x:v>
      </x:c>
      <x:c r="D12" s="186" t="n">
        <x:f>'Agent报价'!L18</x:f>
        <x:v>2239050</x:v>
      </x:c>
      <x:c r="E12" s="186" t="n">
        <x:f>'Agent报价'!P18</x:f>
        <x:v>1306113</x:v>
      </x:c>
      <x:c r="F12" s="185" t="str">
        <x:v>自然语言入口、智能聚合与安全自动化层</x:v>
      </x:c>
    </x:row>
    <x:row r="13" ht="15" hidden="0" customHeight="1">
      <x:c r="A13" s="187" t="str">
        <x:v>总计</x:v>
      </x:c>
      <x:c r="B13" s="188" t="n">
        <x:f>SUM(B11:B12)</x:f>
        <x:v>3411416</x:v>
      </x:c>
      <x:c r="C13" s="188" t="n">
        <x:f>SUM(C11:C12)</x:f>
        <x:v>2010069</x:v>
      </x:c>
      <x:c r="D13" s="188" t="n">
        <x:f>SUM(D11:D12)</x:f>
        <x:v>3708060</x:v>
      </x:c>
      <x:c r="E13" s="188" t="n">
        <x:f>SUM(E11:E12)</x:f>
        <x:v>2168358</x:v>
      </x:c>
      <x:c r="F13" s="187" t="str">
        <x:v>完整系统等价重置开发价值</x:v>
      </x:c>
    </x:row>
    <x:row r="14">
      <x:c r="A14" s="169"/>
      <x:c r="B14" s="169"/>
      <x:c r="C14" s="169"/>
      <x:c r="D14" s="169"/>
      <x:c r="E14" s="169"/>
      <x:c r="F14" s="169"/>
    </x:row>
    <x:row r="15">
      <x:c r="A15" s="169"/>
      <x:c r="B15" s="169"/>
      <x:c r="C15" s="169"/>
      <x:c r="D15" s="169"/>
      <x:c r="E15" s="169"/>
      <x:c r="F15" s="169"/>
    </x:row>
    <x:row r="16" ht="15" hidden="0" customHeight="1">
      <x:c r="A16" s="171" t="str">
        <x:v>项目状态判断</x:v>
      </x:c>
      <x:c r="B16" s="172" t="str">
        <x:v>判定</x:v>
      </x:c>
      <x:c r="C16" s="172" t="str">
        <x:v>证据摘要</x:v>
      </x:c>
      <x:c r="D16" s="172" t="str">
        <x:v>报价影响</x:v>
      </x:c>
      <x:c r="E16" s="172" t="str">
        <x:v>客户应理解</x:v>
      </x:c>
      <x:c r="F16" s="173" t="str">
        <x:v>建议</x:v>
      </x:c>
    </x:row>
    <x:row r="17" ht="32.400001525878906" hidden="0" customHeight="1">
      <x:c r="A17" s="189" t="str">
        <x:v>原系统工程成熟度</x:v>
      </x:c>
      <x:c r="B17" s="190" t="str">
        <x:v>中高</x:v>
      </x:c>
      <x:c r="C17" s="189" t="str">
        <x:v>43个Controller候选文件、复杂业务服务与多端代码；最近复审Java 438项测试通过。</x:v>
      </x:c>
      <x:c r="D17" s="189" t="str">
        <x:v>可按完整定制系统重置价报价。</x:v>
      </x:c>
      <x:c r="E17" s="189" t="str">
        <x:v>成熟不等于已完成甲方生产发布。</x:v>
      </x:c>
      <x:c r="F17" s="189" t="str">
        <x:v>源码交付与生产上线合同分开写。</x:v>
      </x:c>
    </x:row>
    <x:row r="18" ht="32.400001525878906" hidden="0" customHeight="1">
      <x:c r="A18" s="191" t="str">
        <x:v>Agent v1只读能力</x:v>
      </x:c>
      <x:c r="B18" s="192" t="str">
        <x:v>中高</x:v>
      </x:c>
      <x:c r="C18" s="191" t="str">
        <x:v>已验收47个L1工具；最新登记扩展到54个无业务写入工具、10专家、58个GoalContract。</x:v>
      </x:c>
      <x:c r="D18" s="191" t="str">
        <x:v>可作为独立Agent产品包报价。</x:v>
      </x:c>
      <x:c r="E18" s="191" t="str">
        <x:v>价值在业务聚合、安全与语义，不是普通大模型聊天壳。</x:v>
      </x:c>
      <x:c r="F18" s="191" t="str">
        <x:v>按业务域分期验收。</x:v>
      </x:c>
    </x:row>
    <x:row r="19" ht="32.400001525878906" hidden="0" customHeight="1">
      <x:c r="A19" s="191" t="str">
        <x:v>工程质量</x:v>
      </x:c>
      <x:c r="B19" s="192" t="str">
        <x:v>较强</x:v>
      </x:c>
      <x:c r="C19" s="191" t="str">
        <x:v>复审记录：Java 438、Python 485、MCP 72、Web 91；shadow浏览器UAT通过。</x:v>
      </x:c>
      <x:c r="D19" s="191" t="str">
        <x:v>降低接手不确定性，支撑工程溢价。</x:v>
      </x:c>
      <x:c r="E19" s="191" t="str">
        <x:v>历史文档是证据，正式交易仍应冻结提交并复跑。</x:v>
      </x:c>
      <x:c r="F19" s="191" t="str">
        <x:v>签约前做一次版本基线验收。</x:v>
      </x:c>
    </x:row>
    <x:row r="20" ht="32.400001525878906" hidden="0" customHeight="1">
      <x:c r="A20" s="191" t="str">
        <x:v>生产就绪性</x:v>
      </x:c>
      <x:c r="B20" s="193" t="str">
        <x:v>NO-GO</x:v>
      </x:c>
      <x:c r="C20" s="191" t="str">
        <x:v>RAG正式资产缺失、Agent性能P95超目标、库存历史0/7、正式角色/告警/演练未完成。</x:v>
      </x:c>
      <x:c r="D20" s="191" t="str">
        <x:v>不能按全面生产SLA成品溢价。</x:v>
      </x:c>
      <x:c r="E20" s="191" t="str">
        <x:v>生产化缺口不应被藏在软件总价中。</x:v>
      </x:c>
      <x:c r="F20" s="191" t="str">
        <x:v>采用“软件价+生产化预算+外部运行费”。</x:v>
      </x:c>
    </x:row>
    <x:row r="21" ht="32.400001525878906" hidden="0" customHeight="1">
      <x:c r="A21" s="191" t="str">
        <x:v>L3写操作</x:v>
      </x:c>
      <x:c r="B21" s="193" t="str">
        <x:v>默认关闭</x:v>
      </x:c>
      <x:c r="C21" s="191" t="str">
        <x:v>首个成品入库候选已做隔离门禁；MCP execute未注册，需独立审批。</x:v>
      </x:c>
      <x:c r="D21" s="191" t="str">
        <x:v>不得宣传为Agent已可自主写库存。</x:v>
      </x:c>
      <x:c r="E21" s="191" t="str">
        <x:v>开放写操作需要业务、安全、运维共同负责。</x:v>
      </x:c>
      <x:c r="F21" s="191" t="str">
        <x:v>单独里程碑、灰度和回滚条款。</x:v>
      </x:c>
    </x:row>
    <x:row r="22">
      <x:c r="A22" s="169"/>
      <x:c r="B22" s="169"/>
      <x:c r="C22" s="169"/>
      <x:c r="D22" s="169"/>
      <x:c r="E22" s="169"/>
      <x:c r="F22" s="169"/>
    </x:row>
    <x:row r="23">
      <x:c r="A23" s="169"/>
      <x:c r="B23" s="169"/>
      <x:c r="C23" s="169"/>
      <x:c r="D23" s="169"/>
      <x:c r="E23" s="169"/>
      <x:c r="F23" s="169"/>
    </x:row>
    <x:row r="24" ht="15" hidden="0" customHeight="1">
      <x:c r="A24" s="171" t="str">
        <x:v>推荐商务口径</x:v>
      </x:c>
      <x:c r="B24" s="172" t="str">
        <x:v>适用情形</x:v>
      </x:c>
      <x:c r="C24" s="172" t="str">
        <x:v>公司建议</x:v>
      </x:c>
      <x:c r="D24" s="172" t="str">
        <x:v>个人建议</x:v>
      </x:c>
      <x:c r="E24" s="172" t="str">
        <x:v>合同关键点</x:v>
      </x:c>
      <x:c r="F24" s="173" t="str">
        <x:v>备注</x:v>
      </x:c>
    </x:row>
    <x:row r="25" ht="21.600000381469727" hidden="0" customHeight="1">
      <x:c r="A25" s="189" t="str">
        <x:v>整套源码重置开发价</x:v>
      </x:c>
      <x:c r="B25" s="189" t="str">
        <x:v>解释项目已形成的完整软件资产价值</x:v>
      </x:c>
      <x:c r="C25" s="189" t="str">
        <x:v>原系统+Agent整体签约价</x:v>
      </x:c>
      <x:c r="D25" s="189" t="str">
        <x:v>个人整体承接价</x:v>
      </x:c>
      <x:c r="E25" s="189" t="str">
        <x:v>冻结范围、源代码/文档/测试交付、第三方组件清单</x:v>
      </x:c>
      <x:c r="F25" s="189" t="str">
        <x:v>本表主报价口径</x:v>
      </x:c>
    </x:row>
    <x:row r="26" ht="15" hidden="0" customHeight="1">
      <x:c r="A26" s="191" t="str">
        <x:v>只购买原系统</x:v>
      </x:c>
      <x:c r="B26" s="191" t="str">
        <x:v>不含Agent/RAG/智能报表</x:v>
      </x:c>
      <x:c r="C26" s="191" t="str">
        <x:v>原系统签约价</x:v>
      </x:c>
      <x:c r="D26" s="191" t="str">
        <x:v>个人原系统签约价</x:v>
      </x:c>
      <x:c r="E26" s="191" t="str">
        <x:v>明确Agent相关页面/API是否剥离</x:v>
      </x:c>
      <x:c r="F26" s="191" t="str">
        <x:v>避免客户以为含智能助手</x:v>
      </x:c>
    </x:row>
    <x:row r="27" ht="15" hidden="0" customHeight="1">
      <x:c r="A27" s="191" t="str">
        <x:v>只购买Agent增量</x:v>
      </x:c>
      <x:c r="B27" s="191" t="str">
        <x:v>客户已有同版本WMS底座</x:v>
      </x:c>
      <x:c r="C27" s="191" t="str">
        <x:v>Agent签约价</x:v>
      </x:c>
      <x:c r="D27" s="191" t="str">
        <x:v>个人Agent签约价</x:v>
      </x:c>
      <x:c r="E27" s="191" t="str">
        <x:v>依赖现有API、数据质量、模型和环境</x:v>
      </x:c>
      <x:c r="F27" s="191" t="str">
        <x:v>WMS变化会产生集成变更</x:v>
      </x:c>
    </x:row>
    <x:row r="28" ht="21.600000381469727" hidden="0" customHeight="1">
      <x:c r="A28" s="191" t="str">
        <x:v>生产上线与长期运维</x:v>
      </x:c>
      <x:c r="B28" s="191" t="str">
        <x:v>需要正式SLA、告警、演练、驻场或7×24</x:v>
      </x:c>
      <x:c r="C28" s="191" t="str">
        <x:v>优先公司主体</x:v>
      </x:c>
      <x:c r="D28" s="191" t="str">
        <x:v>个人需限制SLA和工时</x:v>
      </x:c>
      <x:c r="E28" s="191" t="str">
        <x:v>云/模型/短信/打印硬件/差旅另计</x:v>
      </x:c>
      <x:c r="F28" s="191" t="str">
        <x:v>生产责任不建议隐含在开发价内</x:v>
      </x:c>
    </x:row>
    <x:row r="29">
      <x:c r="A29" s="169"/>
      <x:c r="B29" s="169"/>
      <x:c r="C29" s="169"/>
      <x:c r="D29" s="169"/>
      <x:c r="E29" s="169"/>
      <x:c r="F29" s="169"/>
    </x:row>
    <x:row r="30" ht="34" customHeight="1">
      <x:c r="A30" s="171" t="str">
        <x:v>商务价格带</x:v>
      </x:c>
      <x:c r="B30" s="172" t="str">
        <x:v>公司主体</x:v>
      </x:c>
      <x:c r="C30" s="172" t="str">
        <x:v>个人开发者</x:v>
      </x:c>
      <x:c r="D30" s="172" t="str">
        <x:v>用途</x:v>
      </x:c>
      <x:c r="E30" s="172" t="str">
        <x:v>适用前提</x:v>
      </x:c>
      <x:c r="F30" s="173" t="str">
        <x:v>建议话术</x:v>
      </x:c>
    </x:row>
    <x:row r="31">
      <x:c r="A31" s="189" t="str">
        <x:v>建议首报（可谈）</x:v>
      </x:c>
      <x:c r="B31" s="194" t="n">
        <x:f>D13</x:f>
        <x:v>3708060</x:v>
      </x:c>
      <x:c r="C31" s="194" t="n">
        <x:f>ROUND(E13*(1+'计价假设'!B12),0)</x:f>
        <x:v>2233409</x:v>
      </x:c>
      <x:c r="D31" s="189" t="str">
        <x:v>首次正式报价，保留谈判空间</x:v>
      </x:c>
      <x:c r="E31" s="189" t="str">
        <x:v>需求边界未扩张，付款条件正常</x:v>
      </x:c>
      <x:c r="F31" s="189" t="str">
        <x:v>“按完整范围首报；整体采购可按里程碑和付款条件申请折扣。”</x:v>
      </x:c>
    </x:row>
    <x:row r="32">
      <x:c r="A32" s="195" t="str">
        <x:v>目标签约价</x:v>
      </x:c>
      <x:c r="B32" s="196" t="n">
        <x:f>B7</x:f>
        <x:v>3411416</x:v>
      </x:c>
      <x:c r="C32" s="196" t="n">
        <x:f>C7</x:f>
        <x:v>2010069</x:v>
      </x:c>
      <x:c r="D32" s="197" t="str">
        <x:v>本模型认为合理的成交目标</x:v>
      </x:c>
      <x:c r="E32" s="197" t="str">
        <x:v>范围冻结、按推荐付款节点执行</x:v>
      </x:c>
      <x:c r="F32" s="198" t="str">
        <x:v>“该价格已体现整套采购折扣，生产化与外部运行费单列。”</x:v>
      </x:c>
    </x:row>
    <x:row r="33">
      <x:c r="A33" s="191" t="str">
        <x:v>审慎底价</x:v>
      </x:c>
      <x:c r="B33" s="199" t="n">
        <x:f>ROUND(B32*92%,0)</x:f>
        <x:v>3138503</x:v>
      </x:c>
      <x:c r="C33" s="199" t="n">
        <x:f>ROUND(C32*92%,0)</x:f>
        <x:v>1849263</x:v>
      </x:c>
      <x:c r="D33" s="191" t="str">
        <x:v>不建议轻易突破的底线</x:v>
      </x:c>
      <x:c r="E33" s="191" t="str">
        <x:v>无驻场/7×24、无免费新增、回款风险低</x:v>
      </x:c>
      <x:c r="F33" s="191" t="str">
        <x:v>“若继续降价，需要同步缩范围、缩质保或调整付款条件。”</x:v>
      </x:c>
    </x:row>
    <x:row r="34">
      <x:c r="A34" s="191" t="str">
        <x:v>若全部生产化缺口均采购</x:v>
      </x:c>
      <x:c r="B34" s="199" t="n">
        <x:f>B7+B8</x:f>
        <x:v>3926411</x:v>
      </x:c>
      <x:c r="C34" s="199" t="n">
        <x:f>C7+C8</x:f>
        <x:v>2320024</x:v>
      </x:c>
      <x:c r="D34" s="191" t="str">
        <x:v>规划参考，不是必须一次性采购</x:v>
      </x:c>
      <x:c r="E34" s="191" t="str">
        <x:v>十项缺口全部实施且目标环境条件满足</x:v>
      </x:c>
      <x:c r="F34" s="191" t="str">
        <x:v>“建议按P0/P1拆阶段，不必把所有缺口一次性打包。”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a83e28f0802546e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5" hidden="0" customWidth="1"/>
    <x:col min="4" max="4" width="17" hidden="0" customWidth="1"/>
    <x:col min="5" max="5" width="13" hidden="0" customWidth="1"/>
    <x:col min="6" max="6" width="50" hidden="0" customWidth="1"/>
    <x:col min="7" max="7" width="43" hidden="0" customWidth="1"/>
    <x:col min="8" max="8" width="10" hidden="0" customWidth="1"/>
    <x:col min="9" max="9" width="10" hidden="0" customWidth="1"/>
    <x:col min="10" max="10" width="11" hidden="0" customWidth="1"/>
    <x:col min="11" max="11" width="13" hidden="0" customWidth="1"/>
    <x:col min="12" max="12" width="15" hidden="0" customWidth="1"/>
    <x:col min="13" max="13" width="16" hidden="0" customWidth="1"/>
    <x:col min="14" max="14" width="12" hidden="0" customWidth="1"/>
    <x:col min="15" max="15" width="13" hidden="0" customWidth="1"/>
    <x:col min="16" max="16" width="15" hidden="0" customWidth="1"/>
    <x:col min="17" max="17" width="16" hidden="0" customWidth="1"/>
    <x:col min="18" max="18" width="12" hidden="0" customWidth="1"/>
    <x:col min="19" max="19" width="42" hidden="0" customWidth="1"/>
    <x:col min="20" max="20" width="38" hidden="0" customWidth="1"/>
  </x:cols>
  <x:sheetData>
    <x:row r="1" ht="32" customHeight="1">
      <x:c r="A1" s="168" t="str">
        <x:v>原系统功能价值与报价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  <x:c r="L1" s="169"/>
      <x:c r="M1" s="169"/>
      <x:c r="N1" s="169"/>
      <x:c r="O1" s="169"/>
      <x:c r="P1" s="169"/>
      <x:c r="Q1" s="169"/>
      <x:c r="R1" s="169"/>
      <x:c r="S1" s="169"/>
      <x:c r="T1" s="169"/>
    </x:row>
    <x:row r="2" ht="34" customHeight="1">
      <x:c r="A2" s="170" t="str">
        <x:v>按功能估算等价重置开发工作量；蓝色为公式，黄色为可调整计价假设。金额为建议签约价分摊，含税口径见“身份与方案对比”。</x:v>
      </x:c>
      <x:c r="B2" s="169"/>
      <x:c r="C2" s="169"/>
      <x:c r="D2" s="169"/>
      <x:c r="E2" s="169"/>
      <x:c r="F2" s="169"/>
      <x:c r="G2" s="169"/>
      <x:c r="H2" s="169"/>
      <x:c r="I2" s="169"/>
      <x:c r="J2" s="169"/>
      <x:c r="K2" s="169"/>
      <x:c r="L2" s="169"/>
      <x:c r="M2" s="169"/>
      <x:c r="N2" s="169"/>
      <x:c r="O2" s="169"/>
      <x:c r="P2" s="169"/>
      <x:c r="Q2" s="169"/>
      <x:c r="R2" s="169"/>
      <x:c r="S2" s="169"/>
      <x:c r="T2" s="169"/>
    </x:row>
    <x:row r="3">
      <x:c r="A3" s="169"/>
      <x:c r="B3" s="169"/>
      <x:c r="C3" s="169"/>
      <x:c r="D3" s="169"/>
      <x:c r="E3" s="169"/>
      <x:c r="F3" s="169"/>
      <x:c r="G3" s="169"/>
      <x:c r="H3" s="169"/>
      <x:c r="I3" s="169"/>
      <x:c r="J3" s="169"/>
      <x:c r="K3" s="169"/>
      <x:c r="L3" s="169"/>
      <x:c r="M3" s="169"/>
      <x:c r="N3" s="169"/>
      <x:c r="O3" s="169"/>
      <x:c r="P3" s="169"/>
      <x:c r="Q3" s="169"/>
      <x:c r="R3" s="169"/>
      <x:c r="S3" s="169"/>
      <x:c r="T3" s="169"/>
    </x:row>
    <x:row r="4" ht="34" customHeight="1">
      <x:c r="A4" s="171" t="str">
        <x:v>编号</x:v>
      </x:c>
      <x:c r="B4" s="172" t="str">
        <x:v>系统部分</x:v>
      </x:c>
      <x:c r="C4" s="172" t="str">
        <x:v>功能模块</x:v>
      </x:c>
      <x:c r="D4" s="172" t="str">
        <x:v>当前成熟度</x:v>
      </x:c>
      <x:c r="E4" s="172" t="str">
        <x:v>业务价值</x:v>
      </x:c>
      <x:c r="F4" s="172" t="str">
        <x:v>当前如何实现</x:v>
      </x:c>
      <x:c r="G4" s="172" t="str">
        <x:v>功能意义</x:v>
      </x:c>
      <x:c r="H4" s="172" t="str">
        <x:v>基础人天</x:v>
      </x:c>
      <x:c r="I4" s="172" t="str">
        <x:v>复杂度系数</x:v>
      </x:c>
      <x:c r="J4" s="172" t="str">
        <x:v>加权人天</x:v>
      </x:c>
      <x:c r="K4" s="172" t="str">
        <x:v>公司日费率</x:v>
      </x:c>
      <x:c r="L4" s="172" t="str">
        <x:v>公司基准价</x:v>
      </x:c>
      <x:c r="M4" s="172" t="str">
        <x:v>公司签约价分摊</x:v>
      </x:c>
      <x:c r="N4" s="172" t="str">
        <x:v>公司价值占比</x:v>
      </x:c>
      <x:c r="O4" s="172" t="str">
        <x:v>个人日费率</x:v>
      </x:c>
      <x:c r="P4" s="172" t="str">
        <x:v>个人基准价</x:v>
      </x:c>
      <x:c r="Q4" s="172" t="str">
        <x:v>个人签约价分摊</x:v>
      </x:c>
      <x:c r="R4" s="172" t="str">
        <x:v>个人价值占比</x:v>
      </x:c>
      <x:c r="S4" s="172" t="str">
        <x:v>报价边界/风险</x:v>
      </x:c>
      <x:c r="T4" s="173" t="str">
        <x:v>交付备注</x:v>
      </x:c>
    </x:row>
    <x:row r="5" ht="60" hidden="0" customHeight="1">
      <x:c r="A5" s="200" t="str">
        <x:v>O01</x:v>
      </x:c>
      <x:c r="B5" s="200" t="str">
        <x:v>原系统</x:v>
      </x:c>
      <x:c r="C5" s="200" t="str">
        <x:v>身份认证与RBAC</x:v>
      </x:c>
      <x:c r="D5" s="200" t="str">
        <x:v>成熟</x:v>
      </x:c>
      <x:c r="E5" s="200" t="str">
        <x:v>高</x:v>
      </x:c>
      <x:c r="F5" s="201" t="str">
        <x:v>Web/微信登录，JWT无状态认证，角色/权限/员工花名册，细粒度业务权限与操作审计。</x:v>
      </x:c>
      <x:c r="G5" s="201" t="str">
        <x:v>把不同岗位限定在可授权的业务范围，降低越权和账号管理风险。</x:v>
      </x:c>
      <x:c r="H5" s="202" t="n">
        <x:v>24</x:v>
      </x:c>
      <x:c r="I5" s="203" t="n">
        <x:v>1</x:v>
      </x:c>
      <x:c r="J5" s="204" t="n">
        <x:f>H5*I5</x:f>
        <x:v>24</x:v>
      </x:c>
      <x:c r="K5" s="205" t="n">
        <x:f>'计价假设'!$B$5</x:f>
        <x:v>2300</x:v>
      </x:c>
      <x:c r="L5" s="206" t="n">
        <x:f>ROUND(J5*K5,0)</x:f>
        <x:v>55200</x:v>
      </x:c>
      <x:c r="M5" s="206" t="n">
        <x:f>ROUND(L5*'计价假设'!$B$9,0)</x:f>
        <x:v>50784</x:v>
      </x:c>
      <x:c r="N5" s="207" t="n">
        <x:f>M5/SUM($M$5:$M$18)</x:f>
        <x:v>0.03757630467114074</x:v>
      </x:c>
      <x:c r="O5" s="205" t="n">
        <x:f>'计价假设'!$B$6</x:f>
        <x:v>1350</x:v>
      </x:c>
      <x:c r="P5" s="206" t="n">
        <x:f>ROUND(J5*O5,0)</x:f>
        <x:v>32400</x:v>
      </x:c>
      <x:c r="Q5" s="206" t="n">
        <x:f>ROUND(P5*'计价假设'!$B$10*(1+'计价假设'!$B$12),0)</x:f>
        <x:v>30035</x:v>
      </x:c>
      <x:c r="R5" s="207" t="n">
        <x:f>Q5/SUM($Q$5:$Q$18)</x:f>
        <x:v>0.037576582538993444</x:v>
      </x:c>
      <x:c r="S5" s="201" t="str">
        <x:v>安全底座；所有库存、生产、质量功能均依赖。</x:v>
      </x:c>
      <x:c r="T5" s="201" t="str">
        <x:v>含设计、开发、联调、测试和基础文档；不含硬件/云资源/驻场差旅。个人签约价含3%开票/税费预留。</x:v>
      </x:c>
    </x:row>
    <x:row r="6" ht="60" hidden="0" customHeight="1">
      <x:c r="A6" s="208" t="str">
        <x:v>O02</x:v>
      </x:c>
      <x:c r="B6" s="208" t="str">
        <x:v>原系统</x:v>
      </x:c>
      <x:c r="C6" s="208" t="str">
        <x:v>产品/筛网/库位主数据</x:v>
      </x:c>
      <x:c r="D6" s="208" t="str">
        <x:v>成熟</x:v>
      </x:c>
      <x:c r="E6" s="208" t="str">
        <x:v>中高</x:v>
      </x:c>
      <x:c r="F6" s="209" t="str">
        <x:v>产品、筛网、库位档案CRUD、状态维护、下拉与库位容量信息。</x:v>
      </x:c>
      <x:c r="G6" s="209" t="str">
        <x:v>统一仓储对象口径，避免产品、规格、库位名称散落在纸表。</x:v>
      </x:c>
      <x:c r="H6" s="210" t="n">
        <x:v>32</x:v>
      </x:c>
      <x:c r="I6" s="211" t="n">
        <x:v>1.1</x:v>
      </x:c>
      <x:c r="J6" s="212" t="n">
        <x:f>H6*I6</x:f>
        <x:v>35.2</x:v>
      </x:c>
      <x:c r="K6" s="213" t="n">
        <x:f>'计价假设'!$B$5</x:f>
        <x:v>2300</x:v>
      </x:c>
      <x:c r="L6" s="214" t="n">
        <x:f>ROUND(J6*K6,0)</x:f>
        <x:v>80960</x:v>
      </x:c>
      <x:c r="M6" s="214" t="n">
        <x:f>ROUND(L6*'计价假设'!$B$9,0)</x:f>
        <x:v>74483</x:v>
      </x:c>
      <x:c r="N6" s="215" t="n">
        <x:f>M6/SUM($M$5:$M$18)</x:f>
        <x:v>0.05511176553285633</x:v>
      </x:c>
      <x:c r="O6" s="213" t="n">
        <x:f>'计价假设'!$B$6</x:f>
        <x:v>1350</x:v>
      </x:c>
      <x:c r="P6" s="214" t="n">
        <x:f>ROUND(J6*O6,0)</x:f>
        <x:v>47520</x:v>
      </x:c>
      <x:c r="Q6" s="214" t="n">
        <x:f>ROUND(P6*'计价假设'!$B$10*(1+'计价假设'!$B$12),0)</x:f>
        <x:v>44051</x:v>
      </x:c>
      <x:c r="R6" s="215" t="n">
        <x:f>Q6/SUM($Q$5:$Q$18)</x:f>
        <x:v>0.05511190402614284</x:v>
      </x:c>
      <x:c r="S6" s="209" t="str">
        <x:v>主数据质量决定后续库存、扫码与报表可信度。</x:v>
      </x:c>
      <x:c r="T6" s="209" t="str">
        <x:v>含设计、开发、联调、测试和基础文档；不含硬件/云资源/驻场差旅。个人签约价含3%开票/税费预留。</x:v>
      </x:c>
    </x:row>
    <x:row r="7" ht="60" hidden="0" customHeight="1">
      <x:c r="A7" s="208" t="str">
        <x:v>O03</x:v>
      </x:c>
      <x:c r="B7" s="208" t="str">
        <x:v>原系统</x:v>
      </x:c>
      <x:c r="C7" s="208" t="str">
        <x:v>库存查询与仓库可视化</x:v>
      </x:c>
      <x:c r="D7" s="208" t="str">
        <x:v>成熟</x:v>
      </x:c>
      <x:c r="E7" s="208" t="str">
        <x:v>高</x:v>
      </x:c>
      <x:c r="F7" s="209" t="str">
        <x:v>产品库存汇总、库位容量与明细、最近操作、平面图/库位状态查询。</x:v>
      </x:c>
      <x:c r="G7" s="209" t="str">
        <x:v>让管理人员即时掌握数量、位置与容量，减少人工盘问和找货时间。</x:v>
      </x:c>
      <x:c r="H7" s="210" t="n">
        <x:v>28</x:v>
      </x:c>
      <x:c r="I7" s="211" t="n">
        <x:v>0.95</x:v>
      </x:c>
      <x:c r="J7" s="212" t="n">
        <x:f>H7*I7</x:f>
        <x:v>26.599999999999998</x:v>
      </x:c>
      <x:c r="K7" s="213" t="n">
        <x:f>'计价假设'!$B$5</x:f>
        <x:v>2300</x:v>
      </x:c>
      <x:c r="L7" s="214" t="n">
        <x:f>ROUND(J7*K7,0)</x:f>
        <x:v>61180</x:v>
      </x:c>
      <x:c r="M7" s="214" t="n">
        <x:f>ROUND(L7*'计价假设'!$B$9,0)</x:f>
        <x:v>56286</x:v>
      </x:c>
      <x:c r="N7" s="215" t="n">
        <x:f>M7/SUM($M$5:$M$18)</x:f>
        <x:v>0.041647366980147836</x:v>
      </x:c>
      <x:c r="O7" s="213" t="n">
        <x:f>'计价假设'!$B$6</x:f>
        <x:v>1350</x:v>
      </x:c>
      <x:c r="P7" s="214" t="n">
        <x:f>ROUND(J7*O7,0)</x:f>
        <x:v>35910</x:v>
      </x:c>
      <x:c r="Q7" s="214" t="n">
        <x:f>ROUND(P7*'计价假设'!$B$10*(1+'计价假设'!$B$12),0)</x:f>
        <x:v>33289</x:v>
      </x:c>
      <x:c r="R7" s="215" t="n">
        <x:f>Q7/SUM($Q$5:$Q$18)</x:f>
        <x:v>0.041647639625122454</x:v>
      </x:c>
      <x:c r="S7" s="209" t="str">
        <x:v>直接支撑日常查库存、查库位和调度。</x:v>
      </x:c>
      <x:c r="T7" s="209" t="str">
        <x:v>含设计、开发、联调、测试和基础文档；不含硬件/云资源/驻场差旅。个人签约价含3%开票/税费预留。</x:v>
      </x:c>
    </x:row>
    <x:row r="8" ht="60" hidden="0" customHeight="1">
      <x:c r="A8" s="208" t="str">
        <x:v>O04</x:v>
      </x:c>
      <x:c r="B8" s="208" t="str">
        <x:v>原系统</x:v>
      </x:c>
      <x:c r="C8" s="208" t="str">
        <x:v>成品/半成品入库</x:v>
      </x:c>
      <x:c r="D8" s="208" t="str">
        <x:v>成熟</x:v>
      </x:c>
      <x:c r="E8" s="208" t="str">
        <x:v>高</x:v>
      </x:c>
      <x:c r="F8" s="209" t="str">
        <x:v>传统入库、半成品普通/栈式入库、托盘任务确认、平面图单板入库。</x:v>
      </x:c>
      <x:c r="G8" s="209" t="str">
        <x:v>把实物流入转换为可追溯库存与业务单据，是库存准确性的入口。</x:v>
      </x:c>
      <x:c r="H8" s="210" t="n">
        <x:v>50</x:v>
      </x:c>
      <x:c r="I8" s="211" t="n">
        <x:v>1.15</x:v>
      </x:c>
      <x:c r="J8" s="212" t="n">
        <x:f>H8*I8</x:f>
        <x:v>57.49999999999999</x:v>
      </x:c>
      <x:c r="K8" s="213" t="n">
        <x:f>'计价假设'!$B$5</x:f>
        <x:v>2300</x:v>
      </x:c>
      <x:c r="L8" s="214" t="n">
        <x:f>ROUND(J8*K8,0)</x:f>
        <x:v>132250</x:v>
      </x:c>
      <x:c r="M8" s="214" t="n">
        <x:f>ROUND(L8*'计价假设'!$B$9,0)</x:f>
        <x:v>121670</x:v>
      </x:c>
      <x:c r="N8" s="215" t="n">
        <x:f>M8/SUM($M$5:$M$18)</x:f>
        <x:v>0.09002656327460802</x:v>
      </x:c>
      <x:c r="O8" s="213" t="n">
        <x:f>'计价假设'!$B$6</x:f>
        <x:v>1350</x:v>
      </x:c>
      <x:c r="P8" s="214" t="n">
        <x:f>ROUND(J8*O8,0)</x:f>
        <x:v>77625</x:v>
      </x:c>
      <x:c r="Q8" s="214" t="n">
        <x:f>ROUND(P8*'计价假设'!$B$10*(1+'计价假设'!$B$12),0)</x:f>
        <x:v>71958</x:v>
      </x:c>
      <x:c r="R8" s="215" t="n">
        <x:f>Q8/SUM($Q$5:$Q$18)</x:f>
        <x:v>0.09002616035761246</x:v>
      </x:c>
      <x:c r="S8" s="209" t="str">
        <x:v>交易核心；涉及库存写入、事务与状态校验。</x:v>
      </x:c>
      <x:c r="T8" s="209" t="str">
        <x:v>含设计、开发、联调、测试和基础文档；不含硬件/云资源/驻场差旅。个人签约价含3%开票/税费预留。</x:v>
      </x:c>
    </x:row>
    <x:row r="9" ht="60" hidden="0" customHeight="1">
      <x:c r="A9" s="208" t="str">
        <x:v>O05</x:v>
      </x:c>
      <x:c r="B9" s="208" t="str">
        <x:v>原系统</x:v>
      </x:c>
      <x:c r="C9" s="208" t="str">
        <x:v>出库、移库与调拨</x:v>
      </x:c>
      <x:c r="D9" s="208" t="str">
        <x:v>成熟</x:v>
      </x:c>
      <x:c r="E9" s="208" t="str">
        <x:v>高</x:v>
      </x:c>
      <x:c r="F9" s="209" t="str">
        <x:v>传统/栈式出库、托盘出库、旧调拨及托盘级/平面图调拨任务。</x:v>
      </x:c>
      <x:c r="G9" s="209" t="str">
        <x:v>规范发货和库内移动，形成数量扣减、位置变化和责任记录。</x:v>
      </x:c>
      <x:c r="H9" s="210" t="n">
        <x:v>48</x:v>
      </x:c>
      <x:c r="I9" s="211" t="n">
        <x:v>1.15</x:v>
      </x:c>
      <x:c r="J9" s="212" t="n">
        <x:f>H9*I9</x:f>
        <x:v>55.199999999999996</x:v>
      </x:c>
      <x:c r="K9" s="213" t="n">
        <x:f>'计价假设'!$B$5</x:f>
        <x:v>2300</x:v>
      </x:c>
      <x:c r="L9" s="214" t="n">
        <x:f>ROUND(J9*K9,0)</x:f>
        <x:v>126960</x:v>
      </x:c>
      <x:c r="M9" s="214" t="n">
        <x:f>ROUND(L9*'计价假设'!$B$9,0)</x:f>
        <x:v>116803</x:v>
      </x:c>
      <x:c r="N9" s="215" t="n">
        <x:f>M9/SUM($M$5:$M$18)</x:f>
        <x:v>0.08642535275880694</x:v>
      </x:c>
      <x:c r="O9" s="213" t="n">
        <x:f>'计价假设'!$B$6</x:f>
        <x:v>1350</x:v>
      </x:c>
      <x:c r="P9" s="214" t="n">
        <x:f>ROUND(J9*O9,0)</x:f>
        <x:v>74520</x:v>
      </x:c>
      <x:c r="Q9" s="214" t="n">
        <x:f>ROUND(P9*'计价假设'!$B$10*(1+'计价假设'!$B$12),0)</x:f>
        <x:v>69080</x:v>
      </x:c>
      <x:c r="R9" s="215" t="n">
        <x:f>Q9/SUM($Q$5:$Q$18)</x:f>
        <x:v>0.08642551429311361</x:v>
      </x:c>
      <x:c r="S9" s="209" t="str">
        <x:v>交易核心；错误会直接影响账实一致。</x:v>
      </x:c>
      <x:c r="T9" s="209" t="str">
        <x:v>含设计、开发、联调、测试和基础文档；不含硬件/云资源/驻场差旅。个人签约价含3%开票/税费预留。</x:v>
      </x:c>
    </x:row>
    <x:row r="10" ht="60" hidden="0" customHeight="1">
      <x:c r="A10" s="208" t="str">
        <x:v>O06</x:v>
      </x:c>
      <x:c r="B10" s="208" t="str">
        <x:v>原系统</x:v>
      </x:c>
      <x:c r="C10" s="208" t="str">
        <x:v>托盘二维码生命周期</x:v>
      </x:c>
      <x:c r="D10" s="208" t="str">
        <x:v>成熟</x:v>
      </x:c>
      <x:c r="E10" s="208" t="str">
        <x:v>高</x:v>
      </x:c>
      <x:c r="F10" s="209" t="str">
        <x:v>托盘码生成/解析、固定码池、产品绑定、作废/恢复、流转轮次与状态。</x:v>
      </x:c>
      <x:c r="G10" s="209" t="str">
        <x:v>建立一托一码的追溯主线，实现扫码作业和单托定位。</x:v>
      </x:c>
      <x:c r="H10" s="210" t="n">
        <x:v>42</x:v>
      </x:c>
      <x:c r="I10" s="211" t="n">
        <x:v>1.15</x:v>
      </x:c>
      <x:c r="J10" s="212" t="n">
        <x:f>H10*I10</x:f>
        <x:v>48.3</x:v>
      </x:c>
      <x:c r="K10" s="213" t="n">
        <x:f>'计价假设'!$B$5</x:f>
        <x:v>2300</x:v>
      </x:c>
      <x:c r="L10" s="214" t="n">
        <x:f>ROUND(J10*K10,0)</x:f>
        <x:v>111090</x:v>
      </x:c>
      <x:c r="M10" s="214" t="n">
        <x:f>ROUND(L10*'计价假设'!$B$9,0)</x:f>
        <x:v>102203</x:v>
      </x:c>
      <x:c r="N10" s="215" t="n">
        <x:f>M10/SUM($M$5:$M$18)</x:f>
        <x:v>0.0756224611354875</x:v>
      </x:c>
      <x:c r="O10" s="213" t="n">
        <x:f>'计价假设'!$B$6</x:f>
        <x:v>1350</x:v>
      </x:c>
      <x:c r="P10" s="214" t="n">
        <x:f>ROUND(J10*O10,0)</x:f>
        <x:v>65205</x:v>
      </x:c>
      <x:c r="Q10" s="214" t="n">
        <x:f>ROUND(P10*'计价假设'!$B$10*(1+'计价假设'!$B$12),0)</x:f>
        <x:v>60445</x:v>
      </x:c>
      <x:c r="R10" s="215" t="n">
        <x:f>Q10/SUM($Q$5:$Q$18)</x:f>
        <x:v>0.07562232500647441</x:v>
      </x:c>
      <x:c r="S10" s="209" t="str">
        <x:v>连接库存、任务、生产、打印和移动端。</x:v>
      </x:c>
      <x:c r="T10" s="209" t="str">
        <x:v>含设计、开发、联调、测试和基础文档；不含硬件/云资源/驻场差旅。个人签约价含3%开票/税费预留。</x:v>
      </x:c>
    </x:row>
    <x:row r="11" ht="60" hidden="0" customHeight="1">
      <x:c r="A11" s="208" t="str">
        <x:v>O07</x:v>
      </x:c>
      <x:c r="B11" s="208" t="str">
        <x:v>原系统</x:v>
      </x:c>
      <x:c r="C11" s="208" t="str">
        <x:v>微信小程序移动作业</x:v>
      </x:c>
      <x:c r="D11" s="208" t="str">
        <x:v>中高</x:v>
      </x:c>
      <x:c r="E11" s="208" t="str">
        <x:v>高</x:v>
      </x:c>
      <x:c r="F11" s="209" t="str">
        <x:v>扫码、工作台、任务中心、查询中心、托盘详情与流转记录等移动页面。</x:v>
      </x:c>
      <x:c r="G11" s="209" t="str">
        <x:v>把仓库作业入口带到现场，减少回电脑录入和二次抄写。</x:v>
      </x:c>
      <x:c r="H11" s="210" t="n">
        <x:v>48</x:v>
      </x:c>
      <x:c r="I11" s="211" t="n">
        <x:v>1.2</x:v>
      </x:c>
      <x:c r="J11" s="212" t="n">
        <x:f>H11*I11</x:f>
        <x:v>57.599999999999994</x:v>
      </x:c>
      <x:c r="K11" s="213" t="n">
        <x:f>'计价假设'!$B$5</x:f>
        <x:v>2300</x:v>
      </x:c>
      <x:c r="L11" s="214" t="n">
        <x:f>ROUND(J11*K11,0)</x:f>
        <x:v>132480</x:v>
      </x:c>
      <x:c r="M11" s="214" t="n">
        <x:f>ROUND(L11*'计价假设'!$B$9,0)</x:f>
        <x:v>121882</x:v>
      </x:c>
      <x:c r="N11" s="215" t="n">
        <x:f>M11/SUM($M$5:$M$18)</x:f>
        <x:v>0.0901834271803713</x:v>
      </x:c>
      <x:c r="O11" s="213" t="n">
        <x:f>'计价假设'!$B$6</x:f>
        <x:v>1350</x:v>
      </x:c>
      <x:c r="P11" s="214" t="n">
        <x:f>ROUND(J11*O11,0)</x:f>
        <x:v>77760</x:v>
      </x:c>
      <x:c r="Q11" s="214" t="n">
        <x:f>ROUND(P11*'计价假设'!$B$10*(1+'计价假设'!$B$12),0)</x:f>
        <x:v>72084</x:v>
      </x:c>
      <x:c r="R11" s="215" t="n">
        <x:f>Q11/SUM($Q$5:$Q$18)</x:f>
        <x:v>0.09018379809358427</x:v>
      </x:c>
      <x:c r="S11" s="209" t="str">
        <x:v>现场采用率与扫码体验直接决定系统落地。</x:v>
      </x:c>
      <x:c r="T11" s="209" t="str">
        <x:v>含设计、开发、联调、测试和基础文档；不含硬件/云资源/驻场差旅。个人签约价含3%开票/税费预留。</x:v>
      </x:c>
    </x:row>
    <x:row r="12" ht="60" hidden="0" customHeight="1">
      <x:c r="A12" s="208" t="str">
        <x:v>O08</x:v>
      </x:c>
      <x:c r="B12" s="208" t="str">
        <x:v>原系统</x:v>
      </x:c>
      <x:c r="C12" s="208" t="str">
        <x:v>生产订单/煮糖批次/领料产出</x:v>
      </x:c>
      <x:c r="D12" s="208" t="str">
        <x:v>中高</x:v>
      </x:c>
      <x:c r="E12" s="208" t="str">
        <x:v>高</x:v>
      </x:c>
      <x:c r="F12" s="209" t="str">
        <x:v>订单、煮糖批次来源、领料、产出、标签预分配、结束确认和入库进度。</x:v>
      </x:c>
      <x:c r="G12" s="209" t="str">
        <x:v>贯通原料投入、在制过程、产出与成品入库，形成生产追溯。</x:v>
      </x:c>
      <x:c r="H12" s="210" t="n">
        <x:v>60</x:v>
      </x:c>
      <x:c r="I12" s="211" t="n">
        <x:v>1.2</x:v>
      </x:c>
      <x:c r="J12" s="212" t="n">
        <x:f>H12*I12</x:f>
        <x:v>72</x:v>
      </x:c>
      <x:c r="K12" s="213" t="n">
        <x:f>'计价假设'!$B$5</x:f>
        <x:v>2300</x:v>
      </x:c>
      <x:c r="L12" s="214" t="n">
        <x:f>ROUND(J12*K12,0)</x:f>
        <x:v>165600</x:v>
      </x:c>
      <x:c r="M12" s="214" t="n">
        <x:f>ROUND(L12*'计价假设'!$B$9,0)</x:f>
        <x:v>152352</x:v>
      </x:c>
      <x:c r="N12" s="215" t="n">
        <x:f>M12/SUM($M$5:$M$18)</x:f>
        <x:v>0.11272891401342222</x:v>
      </x:c>
      <x:c r="O12" s="213" t="n">
        <x:f>'计价假设'!$B$6</x:f>
        <x:v>1350</x:v>
      </x:c>
      <x:c r="P12" s="214" t="n">
        <x:f>ROUND(J12*O12,0)</x:f>
        <x:v>97200</x:v>
      </x:c>
      <x:c r="Q12" s="214" t="n">
        <x:f>ROUND(P12*'计价假设'!$B$10*(1+'计价假设'!$B$12),0)</x:f>
        <x:v>90104</x:v>
      </x:c>
      <x:c r="R12" s="215" t="n">
        <x:f>Q12/SUM($Q$5:$Q$18)</x:f>
        <x:v>0.1127284965238377</x:v>
      </x:c>
      <x:c r="S12" s="209" t="str">
        <x:v>业务差异化最强，规则复杂、跨表事务多。</x:v>
      </x:c>
      <x:c r="T12" s="209" t="str">
        <x:v>含设计、开发、联调、测试和基础文档；不含硬件/云资源/驻场差旅。个人签约价含3%开票/税费预留。</x:v>
      </x:c>
    </x:row>
    <x:row r="13" ht="60" hidden="0" customHeight="1">
      <x:c r="A13" s="208" t="str">
        <x:v>O09</x:v>
      </x:c>
      <x:c r="B13" s="208" t="str">
        <x:v>原系统</x:v>
      </x:c>
      <x:c r="C13" s="208" t="str">
        <x:v>化验与质量标准</x:v>
      </x:c>
      <x:c r="D13" s="208" t="str">
        <x:v>中高</x:v>
      </x:c>
      <x:c r="E13" s="208" t="str">
        <x:v>高</x:v>
      </x:c>
      <x:c r="F13" s="209" t="str">
        <x:v>化验导入/查询/维护、质量标准与产品关系、指标判定、异常与覆盖查询。</x:v>
      </x:c>
      <x:c r="G13" s="209" t="str">
        <x:v>让质量结论有规则、有快照、可复核，支撑放行和异常分析。</x:v>
      </x:c>
      <x:c r="H13" s="210" t="n">
        <x:v>50</x:v>
      </x:c>
      <x:c r="I13" s="211" t="n">
        <x:v>1.15</x:v>
      </x:c>
      <x:c r="J13" s="212" t="n">
        <x:f>H13*I13</x:f>
        <x:v>57.49999999999999</x:v>
      </x:c>
      <x:c r="K13" s="213" t="n">
        <x:f>'计价假设'!$B$5</x:f>
        <x:v>2300</x:v>
      </x:c>
      <x:c r="L13" s="214" t="n">
        <x:f>ROUND(J13*K13,0)</x:f>
        <x:v>132250</x:v>
      </x:c>
      <x:c r="M13" s="214" t="n">
        <x:f>ROUND(L13*'计价假设'!$B$9,0)</x:f>
        <x:v>121670</x:v>
      </x:c>
      <x:c r="N13" s="215" t="n">
        <x:f>M13/SUM($M$5:$M$18)</x:f>
        <x:v>0.09002656327460802</x:v>
      </x:c>
      <x:c r="O13" s="213" t="n">
        <x:f>'计价假设'!$B$6</x:f>
        <x:v>1350</x:v>
      </x:c>
      <x:c r="P13" s="214" t="n">
        <x:f>ROUND(J13*O13,0)</x:f>
        <x:v>77625</x:v>
      </x:c>
      <x:c r="Q13" s="214" t="n">
        <x:f>ROUND(P13*'计价假设'!$B$10*(1+'计价假设'!$B$12),0)</x:f>
        <x:v>71958</x:v>
      </x:c>
      <x:c r="R13" s="215" t="n">
        <x:f>Q13/SUM($Q$5:$Q$18)</x:f>
        <x:v>0.09002616035761246</x:v>
      </x:c>
      <x:c r="S13" s="209" t="str">
        <x:v>质量追溯核心；标准版本和判定语义重要。</x:v>
      </x:c>
      <x:c r="T13" s="209" t="str">
        <x:v>含设计、开发、联调、测试和基础文档；不含硬件/云资源/驻场差旅。个人签约价含3%开票/税费预留。</x:v>
      </x:c>
    </x:row>
    <x:row r="14" ht="60" hidden="0" customHeight="1">
      <x:c r="A14" s="208" t="str">
        <x:v>O10</x:v>
      </x:c>
      <x:c r="B14" s="208" t="str">
        <x:v>原系统</x:v>
      </x:c>
      <x:c r="C14" s="208" t="str">
        <x:v>智能报数与备料池</x:v>
      </x:c>
      <x:c r="D14" s="208" t="str">
        <x:v>中</x:v>
      </x:c>
      <x:c r="E14" s="208" t="str">
        <x:v>中高</x:v>
      </x:c>
      <x:c r="F14" s="209" t="str">
        <x:v>自然语言报数解析、批次缓存/历史、半成品确认、生产报数与备料余额留档。</x:v>
      </x:c>
      <x:c r="G14" s="209" t="str">
        <x:v>降低口语报数到结构化任务的录入成本，形成智能化入口。</x:v>
      </x:c>
      <x:c r="H14" s="210" t="n">
        <x:v>36</x:v>
      </x:c>
      <x:c r="I14" s="211" t="n">
        <x:v>1.2</x:v>
      </x:c>
      <x:c r="J14" s="212" t="n">
        <x:f>H14*I14</x:f>
        <x:v>43.199999999999996</x:v>
      </x:c>
      <x:c r="K14" s="213" t="n">
        <x:f>'计价假设'!$B$5</x:f>
        <x:v>2300</x:v>
      </x:c>
      <x:c r="L14" s="214" t="n">
        <x:f>ROUND(J14*K14,0)</x:f>
        <x:v>99360</x:v>
      </x:c>
      <x:c r="M14" s="214" t="n">
        <x:f>ROUND(L14*'计价假设'!$B$9,0)</x:f>
        <x:v>91411</x:v>
      </x:c>
      <x:c r="N14" s="215" t="n">
        <x:f>M14/SUM($M$5:$M$18)</x:f>
        <x:v>0.06763720042323658</x:v>
      </x:c>
      <x:c r="O14" s="213" t="n">
        <x:f>'计价假设'!$B$6</x:f>
        <x:v>1350</x:v>
      </x:c>
      <x:c r="P14" s="214" t="n">
        <x:f>ROUND(J14*O14,0)</x:f>
        <x:v>58320</x:v>
      </x:c>
      <x:c r="Q14" s="214" t="n">
        <x:f>ROUND(P14*'计价假设'!$B$10*(1+'计价假设'!$B$12),0)</x:f>
        <x:v>54063</x:v>
      </x:c>
      <x:c r="R14" s="215" t="n">
        <x:f>Q14/SUM($Q$5:$Q$18)</x:f>
        <x:v>0.0676378485701882</x:v>
      </x:c>
      <x:c r="S14" s="209" t="str">
        <x:v>已有可用链路，但确定性解析和治理仍需持续强化。</x:v>
      </x:c>
      <x:c r="T14" s="209" t="str">
        <x:v>含设计、开发、联调、测试和基础文档；不含硬件/云资源/驻场差旅。个人签约价含3%开票/税费预留。</x:v>
      </x:c>
    </x:row>
    <x:row r="15" ht="60" hidden="0" customHeight="1">
      <x:c r="A15" s="208" t="str">
        <x:v>O11</x:v>
      </x:c>
      <x:c r="B15" s="208" t="str">
        <x:v>原系统</x:v>
      </x:c>
      <x:c r="C15" s="208" t="str">
        <x:v>Web管理端与运营页面</x:v>
      </x:c>
      <x:c r="D15" s="208" t="str">
        <x:v>中高</x:v>
      </x:c>
      <x:c r="E15" s="208" t="str">
        <x:v>高</x:v>
      </x:c>
      <x:c r="F15" s="209" t="str">
        <x:v>Vue3/Element Plus 管理端，覆盖主数据、库存、任务、生产、质量、权限与助手入口。</x:v>
      </x:c>
      <x:c r="G15" s="209" t="str">
        <x:v>提供管理、审核、查询、图表和配置的统一操作台。</x:v>
      </x:c>
      <x:c r="H15" s="210" t="n">
        <x:v>48</x:v>
      </x:c>
      <x:c r="I15" s="211" t="n">
        <x:v>1.05</x:v>
      </x:c>
      <x:c r="J15" s="212" t="n">
        <x:f>H15*I15</x:f>
        <x:v>50.400000000000006</x:v>
      </x:c>
      <x:c r="K15" s="213" t="n">
        <x:f>'计价假设'!$B$5</x:f>
        <x:v>2300</x:v>
      </x:c>
      <x:c r="L15" s="214" t="n">
        <x:f>ROUND(J15*K15,0)</x:f>
        <x:v>115920</x:v>
      </x:c>
      <x:c r="M15" s="214" t="n">
        <x:f>ROUND(L15*'计价假设'!$B$9,0)</x:f>
        <x:v>106646</x:v>
      </x:c>
      <x:c r="N15" s="215" t="n">
        <x:f>M15/SUM($M$5:$M$18)</x:f>
        <x:v>0.07890994383976203</x:v>
      </x:c>
      <x:c r="O15" s="213" t="n">
        <x:f>'计价假设'!$B$6</x:f>
        <x:v>1350</x:v>
      </x:c>
      <x:c r="P15" s="214" t="n">
        <x:f>ROUND(J15*O15,0)</x:f>
        <x:v>68040</x:v>
      </x:c>
      <x:c r="Q15" s="214" t="n">
        <x:f>ROUND(P15*'计价假设'!$B$10*(1+'计价假设'!$B$12),0)</x:f>
        <x:v>63073</x:v>
      </x:c>
      <x:c r="R15" s="215" t="n">
        <x:f>Q15/SUM($Q$5:$Q$18)</x:f>
        <x:v>0.07891019778531493</x:v>
      </x:c>
      <x:c r="S15" s="209" t="str">
        <x:v>承载主要管理流程与后台协作。</x:v>
      </x:c>
      <x:c r="T15" s="209" t="str">
        <x:v>含设计、开发、联调、测试和基础文档；不含硬件/云资源/驻场差旅。个人签约价含3%开票/税费预留。</x:v>
      </x:c>
    </x:row>
    <x:row r="16" ht="60" hidden="0" customHeight="1">
      <x:c r="A16" s="208" t="str">
        <x:v>O12</x:v>
      </x:c>
      <x:c r="B16" s="208" t="str">
        <x:v>原系统</x:v>
      </x:c>
      <x:c r="C16" s="208" t="str">
        <x:v>标签打印助手与PDF标签</x:v>
      </x:c>
      <x:c r="D16" s="208" t="str">
        <x:v>中高</x:v>
      </x:c>
      <x:c r="E16" s="208" t="str">
        <x:v>中高</x:v>
      </x:c>
      <x:c r="F16" s="209" t="str">
        <x:v>本机打印助手、打印机发现/配置、标签渲染/PDF、固定码打印启用。</x:v>
      </x:c>
      <x:c r="G16" s="209" t="str">
        <x:v>打通系统二维码到现场标签介质，减少手工制码和错贴。</x:v>
      </x:c>
      <x:c r="H16" s="210" t="n">
        <x:v>36</x:v>
      </x:c>
      <x:c r="I16" s="211" t="n">
        <x:v>1.1</x:v>
      </x:c>
      <x:c r="J16" s="212" t="n">
        <x:f>H16*I16</x:f>
        <x:v>39.6</x:v>
      </x:c>
      <x:c r="K16" s="213" t="n">
        <x:f>'计价假设'!$B$5</x:f>
        <x:v>2300</x:v>
      </x:c>
      <x:c r="L16" s="214" t="n">
        <x:f>ROUND(J16*K16,0)</x:f>
        <x:v>91080</x:v>
      </x:c>
      <x:c r="M16" s="214" t="n">
        <x:f>ROUND(L16*'计价假设'!$B$9,0)</x:f>
        <x:v>83794</x:v>
      </x:c>
      <x:c r="N16" s="215" t="n">
        <x:f>M16/SUM($M$5:$M$18)</x:f>
        <x:v>0.062001198677015736</x:v>
      </x:c>
      <x:c r="O16" s="213" t="n">
        <x:f>'计价假设'!$B$6</x:f>
        <x:v>1350</x:v>
      </x:c>
      <x:c r="P16" s="214" t="n">
        <x:f>ROUND(J16*O16,0)</x:f>
        <x:v>53460</x:v>
      </x:c>
      <x:c r="Q16" s="214" t="n">
        <x:f>ROUND(P16*'计价假设'!$B$10*(1+'计价假设'!$B$12),0)</x:f>
        <x:v>49557</x:v>
      </x:c>
      <x:c r="R16" s="215" t="n">
        <x:f>Q16/SUM($Q$5:$Q$18)</x:f>
        <x:v>0.06200042286948221</x:v>
      </x:c>
      <x:c r="S16" s="209" t="str">
        <x:v>硬件环境差异大，实施与售后成本高于普通页面。</x:v>
      </x:c>
      <x:c r="T16" s="209" t="str">
        <x:v>含设计、开发、联调、测试和基础文档；不含硬件/云资源/驻场差旅。个人签约价含3%开票/税费预留。</x:v>
      </x:c>
    </x:row>
    <x:row r="17" ht="60" hidden="0" customHeight="1">
      <x:c r="A17" s="208" t="str">
        <x:v>O13</x:v>
      </x:c>
      <x:c r="B17" s="208" t="str">
        <x:v>原系统</x:v>
      </x:c>
      <x:c r="C17" s="208" t="str">
        <x:v>审计、日志与OpenAPI治理</x:v>
      </x:c>
      <x:c r="D17" s="208" t="str">
        <x:v>中高</x:v>
      </x:c>
      <x:c r="E17" s="208" t="str">
        <x:v>中高</x:v>
      </x:c>
      <x:c r="F17" s="209" t="str">
        <x:v>AOP操作日志、全局异常、DTO/VO、OpenAPI、数据库Schema启动校验。</x:v>
      </x:c>
      <x:c r="G17" s="209" t="str">
        <x:v>提高可追责性、接口一致性和后续集成效率。</x:v>
      </x:c>
      <x:c r="H17" s="210" t="n">
        <x:v>25</x:v>
      </x:c>
      <x:c r="I17" s="211" t="n">
        <x:v>1.1</x:v>
      </x:c>
      <x:c r="J17" s="212" t="n">
        <x:f>H17*I17</x:f>
        <x:v>27.500000000000004</x:v>
      </x:c>
      <x:c r="K17" s="213" t="n">
        <x:f>'计价假设'!$B$5</x:f>
        <x:v>2300</x:v>
      </x:c>
      <x:c r="L17" s="214" t="n">
        <x:f>ROUND(J17*K17,0)</x:f>
        <x:v>63250</x:v>
      </x:c>
      <x:c r="M17" s="214" t="n">
        <x:f>ROUND(L17*'计价假设'!$B$9,0)</x:f>
        <x:v>58190</x:v>
      </x:c>
      <x:c r="N17" s="215" t="n">
        <x:f>M17/SUM($M$5:$M$18)</x:f>
        <x:v>0.0430561824356821</x:v>
      </x:c>
      <x:c r="O17" s="213" t="n">
        <x:f>'计价假设'!$B$6</x:f>
        <x:v>1350</x:v>
      </x:c>
      <x:c r="P17" s="214" t="n">
        <x:f>ROUND(J17*O17,0)</x:f>
        <x:v>37125</x:v>
      </x:c>
      <x:c r="Q17" s="214" t="n">
        <x:f>ROUND(P17*'计价假设'!$B$10*(1+'计价假设'!$B$12),0)</x:f>
        <x:v>34415</x:v>
      </x:c>
      <x:c r="R17" s="215" t="n">
        <x:f>Q17/SUM($Q$5:$Q$18)</x:f>
        <x:v>0.04305637050372763</x:v>
      </x:c>
      <x:c r="S17" s="209" t="str">
        <x:v>属于不显眼但决定企业可维护性的工程资产。</x:v>
      </x:c>
      <x:c r="T17" s="209" t="str">
        <x:v>含设计、开发、联调、测试和基础文档；不含硬件/云资源/驻场差旅。个人签约价含3%开票/税费预留。</x:v>
      </x:c>
    </x:row>
    <x:row r="18" ht="60" hidden="0" customHeight="1">
      <x:c r="A18" s="208" t="str">
        <x:v>O14</x:v>
      </x:c>
      <x:c r="B18" s="208" t="str">
        <x:v>原系统</x:v>
      </x:c>
      <x:c r="C18" s="208" t="str">
        <x:v>部署、迁移、测试与交付工程</x:v>
      </x:c>
      <x:c r="D18" s="208" t="str">
        <x:v>中高</x:v>
      </x:c>
      <x:c r="E18" s="208" t="str">
        <x:v>高</x:v>
      </x:c>
      <x:c r="F18" s="209" t="str">
        <x:v>Docker/Nginx、systemd/Windows任务、迁移脚本、环境模板、自动化测试与构建。</x:v>
      </x:c>
      <x:c r="G18" s="209" t="str">
        <x:v>让代码能被重复部署、验收、回滚与接管，而不是只在开发机运行。</x:v>
      </x:c>
      <x:c r="H18" s="210" t="n">
        <x:v>42</x:v>
      </x:c>
      <x:c r="I18" s="211" t="n">
        <x:v>1.05</x:v>
      </x:c>
      <x:c r="J18" s="212" t="n">
        <x:f>H18*I18</x:f>
        <x:v>44.1</x:v>
      </x:c>
      <x:c r="K18" s="213" t="n">
        <x:f>'计价假设'!$B$5</x:f>
        <x:v>2300</x:v>
      </x:c>
      <x:c r="L18" s="214" t="n">
        <x:f>ROUND(J18*K18,0)</x:f>
        <x:v>101430</x:v>
      </x:c>
      <x:c r="M18" s="214" t="n">
        <x:f>ROUND(L18*'计价假设'!$B$9,0)</x:f>
        <x:v>93316</x:v>
      </x:c>
      <x:c r="N18" s="215" t="n">
        <x:f>M18/SUM($M$5:$M$18)</x:f>
        <x:v>0.06904675580285463</x:v>
      </x:c>
      <x:c r="O18" s="213" t="n">
        <x:f>'计价假设'!$B$6</x:f>
        <x:v>1350</x:v>
      </x:c>
      <x:c r="P18" s="214" t="n">
        <x:f>ROUND(J18*O18,0)</x:f>
        <x:v>59535</x:v>
      </x:c>
      <x:c r="Q18" s="214" t="n">
        <x:f>ROUND(P18*'计价假设'!$B$10*(1+'计价假设'!$B$12),0)</x:f>
        <x:v>55189</x:v>
      </x:c>
      <x:c r="R18" s="215" t="n">
        <x:f>Q18/SUM($Q$5:$Q$18)</x:f>
        <x:v>0.06904657944879339</x:v>
      </x:c>
      <x:c r="S18" s="209" t="str">
        <x:v>当前工程基线强，但生产告警、演练与正式发布仍有缺口。</x:v>
      </x:c>
      <x:c r="T18" s="209" t="str">
        <x:v>含设计、开发、联调、测试和基础文档；不含硬件/云资源/驻场差旅。个人签约价含3%开票/税费预留。</x:v>
      </x:c>
    </x:row>
    <x:row r="19" ht="15" hidden="0" customHeight="1">
      <x:c r="A19" s="216" t="str">
        <x:v>原系统合计</x:v>
      </x:c>
      <x:c r="B19" s="216"/>
      <x:c r="C19" s="216"/>
      <x:c r="D19" s="216"/>
      <x:c r="E19" s="216"/>
      <x:c r="F19" s="216"/>
      <x:c r="G19" s="216"/>
      <x:c r="H19" s="217" t="n">
        <x:f>SUM(H5:H18)</x:f>
        <x:v>569</x:v>
      </x:c>
      <x:c r="I19" s="216"/>
      <x:c r="J19" s="218" t="n">
        <x:f>SUM(J5:J18)</x:f>
        <x:v>638.7</x:v>
      </x:c>
      <x:c r="K19" s="216"/>
      <x:c r="L19" s="219" t="n">
        <x:f>SUM(L5:L18)</x:f>
        <x:v>1469010</x:v>
      </x:c>
      <x:c r="M19" s="219" t="n">
        <x:f>SUM(M5:M18)</x:f>
        <x:v>1351490</x:v>
      </x:c>
      <x:c r="N19" s="220" t="n">
        <x:f>SUM(N5:N18)</x:f>
        <x:v>1</x:v>
      </x:c>
      <x:c r="O19" s="216"/>
      <x:c r="P19" s="219" t="n">
        <x:f>SUM(P5:P18)</x:f>
        <x:v>862245</x:v>
      </x:c>
      <x:c r="Q19" s="219" t="n">
        <x:f>SUM(Q5:Q18)</x:f>
        <x:v>799301</x:v>
      </x:c>
      <x:c r="R19" s="220" t="n">
        <x:f>SUM(R5:R18)</x:f>
        <x:v>1</x:v>
      </x:c>
      <x:c r="S19" s="216"/>
      <x:c r="T19" s="216"/>
    </x:row>
  </x:sheetData>
  <x:mergeCells>
    <x:mergeCell ref="A1:T1"/>
    <x:mergeCell ref="A2:T2"/>
    <x:mergeCell ref="A19:G19"/>
  </x:mergeCells>
  <x:conditionalFormatting sqref="D5:D18">
    <x:cfRule type="containsText" dxfId="0" priority="1" operator="containsText" text="成熟"/>
    <x:cfRule type="containsText" dxfId="1" priority="2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ff189f6b0eeb49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5" hidden="0" customWidth="1"/>
    <x:col min="4" max="4" width="17" hidden="0" customWidth="1"/>
    <x:col min="5" max="5" width="13" hidden="0" customWidth="1"/>
    <x:col min="6" max="6" width="50" hidden="0" customWidth="1"/>
    <x:col min="7" max="7" width="43" hidden="0" customWidth="1"/>
    <x:col min="8" max="8" width="10" hidden="0" customWidth="1"/>
    <x:col min="9" max="9" width="10" hidden="0" customWidth="1"/>
    <x:col min="10" max="10" width="11" hidden="0" customWidth="1"/>
    <x:col min="11" max="11" width="13" hidden="0" customWidth="1"/>
    <x:col min="12" max="12" width="15" hidden="0" customWidth="1"/>
    <x:col min="13" max="13" width="16" hidden="0" customWidth="1"/>
    <x:col min="14" max="14" width="12" hidden="0" customWidth="1"/>
    <x:col min="15" max="15" width="13" hidden="0" customWidth="1"/>
    <x:col min="16" max="16" width="15" hidden="0" customWidth="1"/>
    <x:col min="17" max="17" width="16" hidden="0" customWidth="1"/>
    <x:col min="18" max="18" width="12" hidden="0" customWidth="1"/>
    <x:col min="19" max="19" width="42" hidden="0" customWidth="1"/>
    <x:col min="20" max="20" width="38" hidden="0" customWidth="1"/>
  </x:cols>
  <x:sheetData>
    <x:row r="1" ht="32" customHeight="1">
      <x:c r="A1" s="168" t="str">
        <x:v>Agent功能价值与报价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  <x:c r="L1" s="169"/>
      <x:c r="M1" s="169"/>
      <x:c r="N1" s="169"/>
      <x:c r="O1" s="169"/>
      <x:c r="P1" s="169"/>
      <x:c r="Q1" s="169"/>
      <x:c r="R1" s="169"/>
      <x:c r="S1" s="169"/>
      <x:c r="T1" s="169"/>
    </x:row>
    <x:row r="2" ht="34" customHeight="1">
      <x:c r="A2" s="170" t="str">
        <x:v>按功能估算等价重置开发工作量；蓝色为公式，黄色为可调整计价假设。金额为建议签约价分摊，含税口径见“身份与方案对比”。</x:v>
      </x:c>
      <x:c r="B2" s="169"/>
      <x:c r="C2" s="169"/>
      <x:c r="D2" s="169"/>
      <x:c r="E2" s="169"/>
      <x:c r="F2" s="169"/>
      <x:c r="G2" s="169"/>
      <x:c r="H2" s="169"/>
      <x:c r="I2" s="169"/>
      <x:c r="J2" s="169"/>
      <x:c r="K2" s="169"/>
      <x:c r="L2" s="169"/>
      <x:c r="M2" s="169"/>
      <x:c r="N2" s="169"/>
      <x:c r="O2" s="169"/>
      <x:c r="P2" s="169"/>
      <x:c r="Q2" s="169"/>
      <x:c r="R2" s="169"/>
      <x:c r="S2" s="169"/>
      <x:c r="T2" s="169"/>
    </x:row>
    <x:row r="3">
      <x:c r="A3" s="169"/>
      <x:c r="B3" s="169"/>
      <x:c r="C3" s="169"/>
      <x:c r="D3" s="169"/>
      <x:c r="E3" s="169"/>
      <x:c r="F3" s="169"/>
      <x:c r="G3" s="169"/>
      <x:c r="H3" s="169"/>
      <x:c r="I3" s="169"/>
      <x:c r="J3" s="169"/>
      <x:c r="K3" s="169"/>
      <x:c r="L3" s="169"/>
      <x:c r="M3" s="169"/>
      <x:c r="N3" s="169"/>
      <x:c r="O3" s="169"/>
      <x:c r="P3" s="169"/>
      <x:c r="Q3" s="169"/>
      <x:c r="R3" s="169"/>
      <x:c r="S3" s="169"/>
      <x:c r="T3" s="169"/>
    </x:row>
    <x:row r="4" ht="34" customHeight="1">
      <x:c r="A4" s="171" t="str">
        <x:v>编号</x:v>
      </x:c>
      <x:c r="B4" s="172" t="str">
        <x:v>系统部分</x:v>
      </x:c>
      <x:c r="C4" s="172" t="str">
        <x:v>功能模块</x:v>
      </x:c>
      <x:c r="D4" s="172" t="str">
        <x:v>当前成熟度</x:v>
      </x:c>
      <x:c r="E4" s="172" t="str">
        <x:v>业务价值</x:v>
      </x:c>
      <x:c r="F4" s="172" t="str">
        <x:v>当前如何实现</x:v>
      </x:c>
      <x:c r="G4" s="172" t="str">
        <x:v>功能意义</x:v>
      </x:c>
      <x:c r="H4" s="172" t="str">
        <x:v>基础人天</x:v>
      </x:c>
      <x:c r="I4" s="172" t="str">
        <x:v>复杂度系数</x:v>
      </x:c>
      <x:c r="J4" s="172" t="str">
        <x:v>加权人天</x:v>
      </x:c>
      <x:c r="K4" s="172" t="str">
        <x:v>公司日费率</x:v>
      </x:c>
      <x:c r="L4" s="172" t="str">
        <x:v>公司基准价</x:v>
      </x:c>
      <x:c r="M4" s="172" t="str">
        <x:v>公司签约价分摊</x:v>
      </x:c>
      <x:c r="N4" s="172" t="str">
        <x:v>公司价值占比</x:v>
      </x:c>
      <x:c r="O4" s="172" t="str">
        <x:v>个人日费率</x:v>
      </x:c>
      <x:c r="P4" s="172" t="str">
        <x:v>个人基准价</x:v>
      </x:c>
      <x:c r="Q4" s="172" t="str">
        <x:v>个人签约价分摊</x:v>
      </x:c>
      <x:c r="R4" s="172" t="str">
        <x:v>个人价值占比</x:v>
      </x:c>
      <x:c r="S4" s="172" t="str">
        <x:v>报价边界/风险</x:v>
      </x:c>
      <x:c r="T4" s="173" t="str">
        <x:v>交付备注</x:v>
      </x:c>
    </x:row>
    <x:row r="5" ht="60" hidden="0" customHeight="1">
      <x:c r="A5" s="200" t="str">
        <x:v>A01</x:v>
      </x:c>
      <x:c r="B5" s="200" t="str">
        <x:v>Agent</x:v>
      </x:c>
      <x:c r="C5" s="200" t="str">
        <x:v>Agent会话与Web助手体验</x:v>
      </x:c>
      <x:c r="D5" s="200" t="str">
        <x:v>中高</x:v>
      </x:c>
      <x:c r="E5" s="200" t="str">
        <x:v>中高</x:v>
      </x:c>
      <x:c r="F5" s="201" t="str">
        <x:v>流式SSE、会话/上下文、候选卡片、审核、取消/中断、历史报表入口。</x:v>
      </x:c>
      <x:c r="G5" s="201" t="str">
        <x:v>把复杂业务查询变成自然语言交互，同时保留可检查的过程与结果卡片。</x:v>
      </x:c>
      <x:c r="H5" s="202" t="n">
        <x:v>42</x:v>
      </x:c>
      <x:c r="I5" s="203" t="n">
        <x:v>1.15</x:v>
      </x:c>
      <x:c r="J5" s="204" t="n">
        <x:f>H5*I5</x:f>
        <x:v>48.3</x:v>
      </x:c>
      <x:c r="K5" s="205" t="n">
        <x:f>'计价假设'!$B$7</x:f>
        <x:v>3000</x:v>
      </x:c>
      <x:c r="L5" s="206" t="n">
        <x:f>ROUND(J5*K5,0)</x:f>
        <x:v>144900</x:v>
      </x:c>
      <x:c r="M5" s="206" t="n">
        <x:f>ROUND(L5*'计价假设'!$B$9,0)</x:f>
        <x:v>133308</x:v>
      </x:c>
      <x:c r="N5" s="207" t="n">
        <x:f>M5/SUM($M$5:$M$17)</x:f>
        <x:v>0.06471494607087827</x:v>
      </x:c>
      <x:c r="O5" s="205" t="n">
        <x:f>'计价假设'!$B$8</x:f>
        <x:v>1750</x:v>
      </x:c>
      <x:c r="P5" s="206" t="n">
        <x:f>ROUND(J5*O5,0)</x:f>
        <x:v>84525</x:v>
      </x:c>
      <x:c r="Q5" s="206" t="n">
        <x:f>ROUND(P5*'计价假设'!$B$10*(1+'计价假设'!$B$12),0)</x:f>
        <x:v>78355</x:v>
      </x:c>
      <x:c r="R5" s="207" t="n">
        <x:f>Q5/SUM($Q$5:$Q$17)</x:f>
        <x:v>0.0647151229632762</x:v>
      </x:c>
      <x:c r="S5" s="201" t="str">
        <x:v>是用户感知最强的智能层，但依赖后端事实与模型稳定性。</x:v>
      </x:c>
      <x:c r="T5" s="201" t="str">
        <x:v>含业务工具、编排、安全、评测和集成；不含模型Token、知识语料采购和生产开放审批。个人签约价含3%开票/税费预留。</x:v>
      </x:c>
    </x:row>
    <x:row r="6" ht="60" hidden="0" customHeight="1">
      <x:c r="A6" s="208" t="str">
        <x:v>A02</x:v>
      </x:c>
      <x:c r="B6" s="208" t="str">
        <x:v>Agent</x:v>
      </x:c>
      <x:c r="C6" s="208" t="str">
        <x:v>多专家路由与目标契约</x:v>
      </x:c>
      <x:c r="D6" s="208" t="str">
        <x:v>中高</x:v>
      </x:c>
      <x:c r="E6" s="208" t="str">
        <x:v>高</x:v>
      </x:c>
      <x:c r="F6" s="209" t="str">
        <x:v>主路由、10个业务专家、58个GoalContract、受控配方、上下文状态与歧义追问。</x:v>
      </x:c>
      <x:c r="G6" s="209" t="str">
        <x:v>把自由问答收敛到明确业务目标，减少模型越权、误路由和幻觉。</x:v>
      </x:c>
      <x:c r="H6" s="210" t="n">
        <x:v>68</x:v>
      </x:c>
      <x:c r="I6" s="211" t="n">
        <x:v>1.2</x:v>
      </x:c>
      <x:c r="J6" s="212" t="n">
        <x:f>H6*I6</x:f>
        <x:v>81.6</x:v>
      </x:c>
      <x:c r="K6" s="213" t="n">
        <x:f>'计价假设'!$B$7</x:f>
        <x:v>3000</x:v>
      </x:c>
      <x:c r="L6" s="214" t="n">
        <x:f>ROUND(J6*K6,0)</x:f>
        <x:v>244800</x:v>
      </x:c>
      <x:c r="M6" s="214" t="n">
        <x:f>ROUND(L6*'计价假设'!$B$9,0)</x:f>
        <x:v>225216</x:v>
      </x:c>
      <x:c r="N6" s="215" t="n">
        <x:f>M6/SUM($M$5:$M$17)</x:f>
        <x:v>0.10933208280297448</x:v>
      </x:c>
      <x:c r="O6" s="213" t="n">
        <x:f>'计价假设'!$B$8</x:f>
        <x:v>1750</x:v>
      </x:c>
      <x:c r="P6" s="214" t="n">
        <x:f>ROUND(J6*O6,0)</x:f>
        <x:v>142800</x:v>
      </x:c>
      <x:c r="Q6" s="214" t="n">
        <x:f>ROUND(P6*'计价假设'!$B$10*(1+'计价假设'!$B$12),0)</x:f>
        <x:v>132376</x:v>
      </x:c>
      <x:c r="R6" s="215" t="n">
        <x:f>Q6/SUM($Q$5:$Q$17)</x:f>
        <x:v>0.10933225853342672</x:v>
      </x:c>
      <x:c r="S6" s="209" t="str">
        <x:v>Agent核心编排资产，非普通聊天框可替代。</x:v>
      </x:c>
      <x:c r="T6" s="209" t="str">
        <x:v>含业务工具、编排、安全、评测和集成；不含模型Token、知识语料采购和生产开放审批。个人签约价含3%开票/税费预留。</x:v>
      </x:c>
    </x:row>
    <x:row r="7" ht="60" hidden="0" customHeight="1">
      <x:c r="A7" s="208" t="str">
        <x:v>A03</x:v>
      </x:c>
      <x:c r="B7" s="208" t="str">
        <x:v>Agent</x:v>
      </x:c>
      <x:c r="C7" s="208" t="str">
        <x:v>54个MCP/业务工具与Java Gateway</x:v>
      </x:c>
      <x:c r="D7" s="208" t="str">
        <x:v>中高</x:v>
      </x:c>
      <x:c r="E7" s="208" t="str">
        <x:v>高</x:v>
      </x:c>
      <x:c r="F7" s="209" t="str">
        <x:v>产品/库位解析、库存、托盘、生产、质量、物流、主数据、审计、报表和L2预览；Java/MCP/Python登记一致。</x:v>
      </x:c>
      <x:c r="G7" s="209" t="str">
        <x:v>将现有WMS能力封装为结构化、可授权、可审计的业务工具。</x:v>
      </x:c>
      <x:c r="H7" s="210" t="n">
        <x:v>54</x:v>
      </x:c>
      <x:c r="I7" s="211" t="n">
        <x:v>1.25</x:v>
      </x:c>
      <x:c r="J7" s="212" t="n">
        <x:f>H7*I7</x:f>
        <x:v>67.5</x:v>
      </x:c>
      <x:c r="K7" s="213" t="n">
        <x:f>'计价假设'!$B$7</x:f>
        <x:v>3000</x:v>
      </x:c>
      <x:c r="L7" s="214" t="n">
        <x:f>ROUND(J7*K7,0)</x:f>
        <x:v>202500</x:v>
      </x:c>
      <x:c r="M7" s="214" t="n">
        <x:f>ROUND(L7*'计价假设'!$B$9,0)</x:f>
        <x:v>186300</x:v>
      </x:c>
      <x:c r="N7" s="215" t="n">
        <x:f>M7/SUM($M$5:$M$17)</x:f>
        <x:v>0.09044014202451933</x:v>
      </x:c>
      <x:c r="O7" s="213" t="n">
        <x:f>'计价假设'!$B$8</x:f>
        <x:v>1750</x:v>
      </x:c>
      <x:c r="P7" s="214" t="n">
        <x:f>ROUND(J7*O7,0)</x:f>
        <x:v>118125</x:v>
      </x:c>
      <x:c r="Q7" s="214" t="n">
        <x:f>ROUND(P7*'计价假设'!$B$10*(1+'计价假设'!$B$12),0)</x:f>
        <x:v>109502</x:v>
      </x:c>
      <x:c r="R7" s="215" t="n">
        <x:f>Q7/SUM($Q$5:$Q$17)</x:f>
        <x:v>0.0904401173470062</x:v>
      </x:c>
      <x:c r="S7" s="209" t="str">
        <x:v>实现复用与安全边界，价值来自业务语义而非接口数量。</x:v>
      </x:c>
      <x:c r="T7" s="209" t="str">
        <x:v>含业务工具、编排、安全、评测和集成；不含模型Token、知识语料采购和生产开放审批。个人签约价含3%开票/税费预留。</x:v>
      </x:c>
    </x:row>
    <x:row r="8" ht="60" hidden="0" customHeight="1">
      <x:c r="A8" s="208" t="str">
        <x:v>A04</x:v>
      </x:c>
      <x:c r="B8" s="208" t="str">
        <x:v>Agent</x:v>
      </x:c>
      <x:c r="C8" s="208" t="str">
        <x:v>安全授权、白名单与审计门禁</x:v>
      </x:c>
      <x:c r="D8" s="208" t="str">
        <x:v>中高</x:v>
      </x:c>
      <x:c r="E8" s="208" t="str">
        <x:v>高</x:v>
      </x:c>
      <x:c r="F8" s="209" t="str">
        <x:v>专家到工具最终授权、RBAC、Registry Hash握手、fail-closed、工具/API审计与安全格式化。</x:v>
      </x:c>
      <x:c r="G8" s="209" t="str">
        <x:v>确保模型不能绕过系统权限、任意调用工具或暴露内部ID。</x:v>
      </x:c>
      <x:c r="H8" s="210" t="n">
        <x:v>48</x:v>
      </x:c>
      <x:c r="I8" s="211" t="n">
        <x:v>1.15</x:v>
      </x:c>
      <x:c r="J8" s="212" t="n">
        <x:f>H8*I8</x:f>
        <x:v>55.199999999999996</x:v>
      </x:c>
      <x:c r="K8" s="213" t="n">
        <x:f>'计价假设'!$B$7</x:f>
        <x:v>3000</x:v>
      </x:c>
      <x:c r="L8" s="214" t="n">
        <x:f>ROUND(J8*K8,0)</x:f>
        <x:v>165600</x:v>
      </x:c>
      <x:c r="M8" s="214" t="n">
        <x:f>ROUND(L8*'计价假设'!$B$9,0)</x:f>
        <x:v>152352</x:v>
      </x:c>
      <x:c r="N8" s="215" t="n">
        <x:f>M8/SUM($M$5:$M$17)</x:f>
        <x:v>0.07395993836671803</x:v>
      </x:c>
      <x:c r="O8" s="213" t="n">
        <x:f>'计价假设'!$B$8</x:f>
        <x:v>1750</x:v>
      </x:c>
      <x:c r="P8" s="214" t="n">
        <x:f>ROUND(J8*O8,0)</x:f>
        <x:v>96600</x:v>
      </x:c>
      <x:c r="Q8" s="214" t="n">
        <x:f>ROUND(P8*'计价假设'!$B$10*(1+'计价假设'!$B$12),0)</x:f>
        <x:v>89548</x:v>
      </x:c>
      <x:c r="R8" s="215" t="n">
        <x:f>Q8/SUM($Q$5:$Q$17)</x:f>
        <x:v>0.07395966857399601</x:v>
      </x:c>
      <x:c r="S8" s="209" t="str">
        <x:v>工业业务智能助手能否上线的关键非功能价值。</x:v>
      </x:c>
      <x:c r="T8" s="209" t="str">
        <x:v>含业务工具、编排、安全、评测和集成；不含模型Token、知识语料采购和生产开放审批。个人签约价含3%开票/税费预留。</x:v>
      </x:c>
    </x:row>
    <x:row r="9" ht="60" hidden="0" customHeight="1">
      <x:c r="A9" s="208" t="str">
        <x:v>A05</x:v>
      </x:c>
      <x:c r="B9" s="208" t="str">
        <x:v>Agent</x:v>
      </x:c>
      <x:c r="C9" s="208" t="str">
        <x:v>库存/仓库/托盘智能查询</x:v>
      </x:c>
      <x:c r="D9" s="208" t="str">
        <x:v>成熟</x:v>
      </x:c>
      <x:c r="E9" s="208" t="str">
        <x:v>高</x:v>
      </x:c>
      <x:c r="F9" s="209" t="str">
        <x:v>自然语言产品/库位解析、库存总览、库位状态、托盘状态/流转/任务与容量查询。</x:v>
      </x:c>
      <x:c r="G9" s="209" t="str">
        <x:v>减少筛选页面和跨模块查找，让一线和管理人员快速得到可解释答案。</x:v>
      </x:c>
      <x:c r="H9" s="210" t="n">
        <x:v>60</x:v>
      </x:c>
      <x:c r="I9" s="211" t="n">
        <x:v>1.2</x:v>
      </x:c>
      <x:c r="J9" s="212" t="n">
        <x:f>H9*I9</x:f>
        <x:v>72</x:v>
      </x:c>
      <x:c r="K9" s="213" t="n">
        <x:f>'计价假设'!$B$7</x:f>
        <x:v>3000</x:v>
      </x:c>
      <x:c r="L9" s="214" t="n">
        <x:f>ROUND(J9*K9,0)</x:f>
        <x:v>216000</x:v>
      </x:c>
      <x:c r="M9" s="214" t="n">
        <x:f>ROUND(L9*'计价假设'!$B$9,0)</x:f>
        <x:v>198720</x:v>
      </x:c>
      <x:c r="N9" s="215" t="n">
        <x:f>M9/SUM($M$5:$M$17)</x:f>
        <x:v>0.09646948482615395</x:v>
      </x:c>
      <x:c r="O9" s="213" t="n">
        <x:f>'计价假设'!$B$8</x:f>
        <x:v>1750</x:v>
      </x:c>
      <x:c r="P9" s="214" t="n">
        <x:f>ROUND(J9*O9,0)</x:f>
        <x:v>126000</x:v>
      </x:c>
      <x:c r="Q9" s="214" t="n">
        <x:f>ROUND(P9*'计价假设'!$B$10*(1+'计价假设'!$B$12),0)</x:f>
        <x:v>116802</x:v>
      </x:c>
      <x:c r="R9" s="215" t="n">
        <x:f>Q9/SUM($Q$5:$Q$17)</x:f>
        <x:v>0.09646934838053203</x:v>
      </x:c>
      <x:c r="S9" s="209" t="str">
        <x:v>Agent v1最稳定、最容易产生使用价值的能力组。</x:v>
      </x:c>
      <x:c r="T9" s="209" t="str">
        <x:v>含业务工具、编排、安全、评测和集成；不含模型Token、知识语料采购和生产开放审批。个人签约价含3%开票/税费预留。</x:v>
      </x:c>
    </x:row>
    <x:row r="10" ht="60" hidden="0" customHeight="1">
      <x:c r="A10" s="208" t="str">
        <x:v>A06</x:v>
      </x:c>
      <x:c r="B10" s="208" t="str">
        <x:v>Agent</x:v>
      </x:c>
      <x:c r="C10" s="208" t="str">
        <x:v>生产与物流追溯专家</x:v>
      </x:c>
      <x:c r="D10" s="208" t="str">
        <x:v>中高</x:v>
      </x:c>
      <x:c r="E10" s="208" t="str">
        <x:v>高</x:v>
      </x:c>
      <x:c r="F10" s="209" t="str">
        <x:v>订单进度、批次来源、实际领料、标签完成度、在制物料、单据与任务追溯。</x:v>
      </x:c>
      <x:c r="G10" s="209" t="str">
        <x:v>把跨订单、批次、托盘、库存的链路汇总为业务可读答案。</x:v>
      </x:c>
      <x:c r="H10" s="210" t="n">
        <x:v>42</x:v>
      </x:c>
      <x:c r="I10" s="211" t="n">
        <x:v>1.2</x:v>
      </x:c>
      <x:c r="J10" s="212" t="n">
        <x:f>H10*I10</x:f>
        <x:v>50.4</x:v>
      </x:c>
      <x:c r="K10" s="213" t="n">
        <x:f>'计价假设'!$B$7</x:f>
        <x:v>3000</x:v>
      </x:c>
      <x:c r="L10" s="214" t="n">
        <x:f>ROUND(J10*K10,0)</x:f>
        <x:v>151200</x:v>
      </x:c>
      <x:c r="M10" s="214" t="n">
        <x:f>ROUND(L10*'计价假设'!$B$9,0)</x:f>
        <x:v>139104</x:v>
      </x:c>
      <x:c r="N10" s="215" t="n">
        <x:f>M10/SUM($M$5:$M$17)</x:f>
        <x:v>0.06752863937830776</x:v>
      </x:c>
      <x:c r="O10" s="213" t="n">
        <x:f>'计价假设'!$B$8</x:f>
        <x:v>1750</x:v>
      </x:c>
      <x:c r="P10" s="214" t="n">
        <x:f>ROUND(J10*O10,0)</x:f>
        <x:v>88200</x:v>
      </x:c>
      <x:c r="Q10" s="214" t="n">
        <x:f>ROUND(P10*'计价假设'!$B$10*(1+'计价假设'!$B$12),0)</x:f>
        <x:v>81761</x:v>
      </x:c>
      <x:c r="R10" s="215" t="n">
        <x:f>Q10/SUM($Q$5:$Q$17)</x:f>
        <x:v>0.06752821349754866</x:v>
      </x:c>
      <x:c r="S10" s="209" t="str">
        <x:v>跨实体聚合复杂，显著降低人工对账和追溯成本。</x:v>
      </x:c>
      <x:c r="T10" s="209" t="str">
        <x:v>含业务工具、编排、安全、评测和集成；不含模型Token、知识语料采购和生产开放审批。个人签约价含3%开票/税费预留。</x:v>
      </x:c>
    </x:row>
    <x:row r="11" ht="60" hidden="0" customHeight="1">
      <x:c r="A11" s="208" t="str">
        <x:v>A07</x:v>
      </x:c>
      <x:c r="B11" s="208" t="str">
        <x:v>Agent</x:v>
      </x:c>
      <x:c r="C11" s="208" t="str">
        <x:v>质量分析与异常查询</x:v>
      </x:c>
      <x:c r="D11" s="208" t="str">
        <x:v>中高</x:v>
      </x:c>
      <x:c r="E11" s="208" t="str">
        <x:v>高</x:v>
      </x:c>
      <x:c r="F11" s="209" t="str">
        <x:v>化验记录、判定、异常指标、标准覆盖、缺化验/无标准、多候选等查询。</x:v>
      </x:c>
      <x:c r="G11" s="209" t="str">
        <x:v>让质检和管理人员快速识别风险范围，并保留标准口径。</x:v>
      </x:c>
      <x:c r="H11" s="210" t="n">
        <x:v>52</x:v>
      </x:c>
      <x:c r="I11" s="211" t="n">
        <x:v>1.15</x:v>
      </x:c>
      <x:c r="J11" s="212" t="n">
        <x:f>H11*I11</x:f>
        <x:v>59.8</x:v>
      </x:c>
      <x:c r="K11" s="213" t="n">
        <x:f>'计价假设'!$B$7</x:f>
        <x:v>3000</x:v>
      </x:c>
      <x:c r="L11" s="214" t="n">
        <x:f>ROUND(J11*K11,0)</x:f>
        <x:v>179400</x:v>
      </x:c>
      <x:c r="M11" s="214" t="n">
        <x:f>ROUND(L11*'计价假设'!$B$9,0)</x:f>
        <x:v>165048</x:v>
      </x:c>
      <x:c r="N11" s="215" t="n">
        <x:f>M11/SUM($M$5:$M$17)</x:f>
        <x:v>0.08012326656394453</x:v>
      </x:c>
      <x:c r="O11" s="213" t="n">
        <x:f>'计价假设'!$B$8</x:f>
        <x:v>1750</x:v>
      </x:c>
      <x:c r="P11" s="214" t="n">
        <x:f>ROUND(J11*O11,0)</x:f>
        <x:v>104650</x:v>
      </x:c>
      <x:c r="Q11" s="214" t="n">
        <x:f>ROUND(P11*'计价假设'!$B$10*(1+'计价假设'!$B$12),0)</x:f>
        <x:v>97011</x:v>
      </x:c>
      <x:c r="R11" s="215" t="n">
        <x:f>Q11/SUM($Q$5:$Q$17)</x:f>
        <x:v>0.08012352490320193</x:v>
      </x:c>
      <x:c r="S11" s="209" t="str">
        <x:v>数据语义严谨度要求高，不能靠模型自由计算。</x:v>
      </x:c>
      <x:c r="T11" s="209" t="str">
        <x:v>含业务工具、编排、安全、评测和集成；不含模型Token、知识语料采购和生产开放审批。个人签约价含3%开票/税费预留。</x:v>
      </x:c>
    </x:row>
    <x:row r="12" ht="60" hidden="0" customHeight="1">
      <x:c r="A12" s="208" t="str">
        <x:v>A08</x:v>
      </x:c>
      <x:c r="B12" s="208" t="str">
        <x:v>Agent</x:v>
      </x:c>
      <x:c r="C12" s="208" t="str">
        <x:v>登记式报表、快照与XLSX导出</x:v>
      </x:c>
      <x:c r="D12" s="208" t="str">
        <x:v>中高</x:v>
      </x:c>
      <x:c r="E12" s="208" t="str">
        <x:v>高</x:v>
      </x:c>
      <x:c r="F12" s="209" t="str">
        <x:v>7类登记报表、跨期比较、不可变ReportRun、本人历史重开、XLSX、保留与清理审计。</x:v>
      </x:c>
      <x:c r="G12" s="209" t="str">
        <x:v>将一次性对话结果沉淀为可复核、可归档、可分享的经营分析资产。</x:v>
      </x:c>
      <x:c r="H12" s="210" t="n">
        <x:v>44</x:v>
      </x:c>
      <x:c r="I12" s="211" t="n">
        <x:v>1.2</x:v>
      </x:c>
      <x:c r="J12" s="212" t="n">
        <x:f>H12*I12</x:f>
        <x:v>52.8</x:v>
      </x:c>
      <x:c r="K12" s="213" t="n">
        <x:f>'计价假设'!$B$7</x:f>
        <x:v>3000</x:v>
      </x:c>
      <x:c r="L12" s="214" t="n">
        <x:f>ROUND(J12*K12,0)</x:f>
        <x:v>158400</x:v>
      </x:c>
      <x:c r="M12" s="214" t="n">
        <x:f>ROUND(L12*'计价假设'!$B$9,0)</x:f>
        <x:v>145728</x:v>
      </x:c>
      <x:c r="N12" s="215" t="n">
        <x:f>M12/SUM($M$5:$M$17)</x:f>
        <x:v>0.0707442888725129</x:v>
      </x:c>
      <x:c r="O12" s="213" t="n">
        <x:f>'计价假设'!$B$8</x:f>
        <x:v>1750</x:v>
      </x:c>
      <x:c r="P12" s="214" t="n">
        <x:f>ROUND(J12*O12,0)</x:f>
        <x:v>92400</x:v>
      </x:c>
      <x:c r="Q12" s="214" t="n">
        <x:f>ROUND(P12*'计价假设'!$B$10*(1+'计价假设'!$B$12),0)</x:f>
        <x:v>85655</x:v>
      </x:c>
      <x:c r="R12" s="215" t="n">
        <x:f>Q12/SUM($Q$5:$Q$17)</x:f>
        <x:v>0.07074435399680203</x:v>
      </x:c>
      <x:c r="S12" s="209" t="str">
        <x:v>连接问答与管理决策，具有持续复用价值。</x:v>
      </x:c>
      <x:c r="T12" s="209" t="str">
        <x:v>含业务工具、编排、安全、评测和集成；不含模型Token、知识语料采购和生产开放审批。个人签约价含3%开票/税费预留。</x:v>
      </x:c>
    </x:row>
    <x:row r="13" ht="60" hidden="0" customHeight="1">
      <x:c r="A13" s="208" t="str">
        <x:v>A09</x:v>
      </x:c>
      <x:c r="B13" s="208" t="str">
        <x:v>Agent</x:v>
      </x:c>
      <x:c r="C13" s="208" t="str">
        <x:v>库存历史、快照与守恒对账</x:v>
      </x:c>
      <x:c r="D13" s="208" t="str">
        <x:v>工程完成/数据积累中</x:v>
      </x:c>
      <x:c r="E13" s="208" t="str">
        <x:v>高</x:v>
      </x:c>
      <x:c r="F13" s="209" t="str">
        <x:v>统一库存事件、上线基线、日终快照、每日守恒对账、发布门禁和独立调度。</x:v>
      </x:c>
      <x:c r="G13" s="209" t="str">
        <x:v>为趋势、异常和经营分析建立可信时间序列，避免伪造历史。</x:v>
      </x:c>
      <x:c r="H13" s="210" t="n">
        <x:v>42</x:v>
      </x:c>
      <x:c r="I13" s="211" t="n">
        <x:v>1.2</x:v>
      </x:c>
      <x:c r="J13" s="212" t="n">
        <x:f>H13*I13</x:f>
        <x:v>50.4</x:v>
      </x:c>
      <x:c r="K13" s="213" t="n">
        <x:f>'计价假设'!$B$7</x:f>
        <x:v>3000</x:v>
      </x:c>
      <x:c r="L13" s="214" t="n">
        <x:f>ROUND(J13*K13,0)</x:f>
        <x:v>151200</x:v>
      </x:c>
      <x:c r="M13" s="214" t="n">
        <x:f>ROUND(L13*'计价假设'!$B$9,0)</x:f>
        <x:v>139104</x:v>
      </x:c>
      <x:c r="N13" s="215" t="n">
        <x:f>M13/SUM($M$5:$M$17)</x:f>
        <x:v>0.06752863937830776</x:v>
      </x:c>
      <x:c r="O13" s="213" t="n">
        <x:f>'计价假设'!$B$8</x:f>
        <x:v>1750</x:v>
      </x:c>
      <x:c r="P13" s="214" t="n">
        <x:f>ROUND(J13*O13,0)</x:f>
        <x:v>88200</x:v>
      </x:c>
      <x:c r="Q13" s="214" t="n">
        <x:f>ROUND(P13*'计价假设'!$B$10*(1+'计价假设'!$B$12),0)</x:f>
        <x:v>81761</x:v>
      </x:c>
      <x:c r="R13" s="215" t="n">
        <x:f>Q13/SUM($Q$5:$Q$17)</x:f>
        <x:v>0.06752821349754866</x:v>
      </x:c>
      <x:c r="S13" s="209" t="str">
        <x:v>生产价值尚受0/7真实连续窗口阻断。</x:v>
      </x:c>
      <x:c r="T13" s="209" t="str">
        <x:v>含业务工具、编排、安全、评测和集成；不含模型Token、知识语料采购和生产开放审批。个人签约价含3%开票/税费预留。</x:v>
      </x:c>
    </x:row>
    <x:row r="14" ht="60" hidden="0" customHeight="1">
      <x:c r="A14" s="208" t="str">
        <x:v>A10</x:v>
      </x:c>
      <x:c r="B14" s="208" t="str">
        <x:v>Agent</x:v>
      </x:c>
      <x:c r="C14" s="208" t="str">
        <x:v>RAG知识库离线构建与检索</x:v>
      </x:c>
      <x:c r="D14" s="208" t="str">
        <x:v>工程完成/资产缺失</x:v>
      </x:c>
      <x:c r="E14" s="208" t="str">
        <x:v>中高</x:v>
      </x:c>
      <x:c r="F14" s="209" t="str">
        <x:v>DOCX/PDF/OCR、清洗分块、嵌入索引、发布/回滚、知识专家、引用与评测。</x:v>
      </x:c>
      <x:c r="G14" s="209" t="str">
        <x:v>回答流程制度、术语和操作知识，并用来源证据约束答案。</x:v>
      </x:c>
      <x:c r="H14" s="210" t="n">
        <x:v>55</x:v>
      </x:c>
      <x:c r="I14" s="211" t="n">
        <x:v>1.25</x:v>
      </x:c>
      <x:c r="J14" s="212" t="n">
        <x:f>H14*I14</x:f>
        <x:v>68.75</x:v>
      </x:c>
      <x:c r="K14" s="213" t="n">
        <x:f>'计价假设'!$B$7</x:f>
        <x:v>3000</x:v>
      </x:c>
      <x:c r="L14" s="214" t="n">
        <x:f>ROUND(J14*K14,0)</x:f>
        <x:v>206250</x:v>
      </x:c>
      <x:c r="M14" s="214" t="n">
        <x:f>ROUND(L14*'计价假设'!$B$9,0)</x:f>
        <x:v>189750</x:v>
      </x:c>
      <x:c r="N14" s="215" t="n">
        <x:f>M14/SUM($M$5:$M$17)</x:f>
        <x:v>0.09211495946941783</x:v>
      </x:c>
      <x:c r="O14" s="213" t="n">
        <x:f>'计价假设'!$B$8</x:f>
        <x:v>1750</x:v>
      </x:c>
      <x:c r="P14" s="214" t="n">
        <x:f>ROUND(J14*O14,0)</x:f>
        <x:v>120313</x:v>
      </x:c>
      <x:c r="Q14" s="214" t="n">
        <x:f>ROUND(P14*'计价假设'!$B$10*(1+'计价假设'!$B$12),0)</x:f>
        <x:v>111530</x:v>
      </x:c>
      <x:c r="R14" s="215" t="n">
        <x:f>Q14/SUM($Q$5:$Q$17)</x:f>
        <x:v>0.09211508728344324</x:v>
      </x:c>
      <x:c r="S14" s="209" t="str">
        <x:v>正式语料artifact/model尚未外部交付，生产知识能力NO-GO。</x:v>
      </x:c>
      <x:c r="T14" s="209" t="str">
        <x:v>含业务工具、编排、安全、评测和集成；不含模型Token、知识语料采购和生产开放审批。个人签约价含3%开票/税费预留。</x:v>
      </x:c>
    </x:row>
    <x:row r="15" ht="60" hidden="0" customHeight="1">
      <x:c r="A15" s="208" t="str">
        <x:v>A11</x:v>
      </x:c>
      <x:c r="B15" s="208" t="str">
        <x:v>Agent</x:v>
      </x:c>
      <x:c r="C15" s="208" t="str">
        <x:v>L2任务预览与受控引导</x:v>
      </x:c>
      <x:c r="D15" s="208" t="str">
        <x:v>中高</x:v>
      </x:c>
      <x:c r="E15" s="208" t="str">
        <x:v>高</x:v>
      </x:c>
      <x:c r="F15" s="209" t="str">
        <x:v>任务状态转换预览、成品入库精确预览、阻断项/警告、预览归档。</x:v>
      </x:c>
      <x:c r="G15" s="209" t="str">
        <x:v>在不修改库存的前提下先验证输入与可执行性，降低误操作。</x:v>
      </x:c>
      <x:c r="H15" s="210" t="n">
        <x:v>36</x:v>
      </x:c>
      <x:c r="I15" s="211" t="n">
        <x:v>1.1</x:v>
      </x:c>
      <x:c r="J15" s="212" t="n">
        <x:f>H15*I15</x:f>
        <x:v>39.6</x:v>
      </x:c>
      <x:c r="K15" s="213" t="n">
        <x:f>'计价假设'!$B$7</x:f>
        <x:v>3000</x:v>
      </x:c>
      <x:c r="L15" s="214" t="n">
        <x:f>ROUND(J15*K15,0)</x:f>
        <x:v>118800</x:v>
      </x:c>
      <x:c r="M15" s="214" t="n">
        <x:f>ROUND(L15*'计价假设'!$B$9,0)</x:f>
        <x:v>109296</x:v>
      </x:c>
      <x:c r="N15" s="215" t="n">
        <x:f>M15/SUM($M$5:$M$17)</x:f>
        <x:v>0.05305821665438467</x:v>
      </x:c>
      <x:c r="O15" s="213" t="n">
        <x:f>'计价假设'!$B$8</x:f>
        <x:v>1750</x:v>
      </x:c>
      <x:c r="P15" s="214" t="n">
        <x:f>ROUND(J15*O15,0)</x:f>
        <x:v>69300</x:v>
      </x:c>
      <x:c r="Q15" s="214" t="n">
        <x:f>ROUND(P15*'计价假设'!$B$10*(1+'计价假设'!$B$12),0)</x:f>
        <x:v>64241</x:v>
      </x:c>
      <x:c r="R15" s="215" t="n">
        <x:f>Q15/SUM($Q$5:$Q$17)</x:f>
        <x:v>0.05305805901708668</x:v>
      </x:c>
      <x:c r="S15" s="209" t="str">
        <x:v>是从只读助手走向可操作助手的安全过渡层。</x:v>
      </x:c>
      <x:c r="T15" s="209" t="str">
        <x:v>含业务工具、编排、安全、评测和集成；不含模型Token、知识语料采购和生产开放审批。个人签约价含3%开票/税费预留。</x:v>
      </x:c>
    </x:row>
    <x:row r="16" ht="60" hidden="0" customHeight="1">
      <x:c r="A16" s="208" t="str">
        <x:v>A12</x:v>
      </x:c>
      <x:c r="B16" s="208" t="str">
        <x:v>Agent</x:v>
      </x:c>
      <x:c r="C16" s="208" t="str">
        <x:v>首个L3成品入库控制面候选</x:v>
      </x:c>
      <x:c r="D16" s="208" t="str">
        <x:v>隔离验收/默认关闭</x:v>
      </x:c>
      <x:c r="E16" s="208" t="str">
        <x:v>高</x:v>
      </x:c>
      <x:c r="F16" s="209" t="str">
        <x:v>确认/撤销、一次性token、幂等哈希、状态重检、事务、审计、故障注入；MCP execute未注册。</x:v>
      </x:c>
      <x:c r="G16" s="209" t="str">
        <x:v>证明高风险写操作可被收敛到用户确认和领域事务内。</x:v>
      </x:c>
      <x:c r="H16" s="210" t="n">
        <x:v>45</x:v>
      </x:c>
      <x:c r="I16" s="211" t="n">
        <x:v>1.2</x:v>
      </x:c>
      <x:c r="J16" s="212" t="n">
        <x:f>H16*I16</x:f>
        <x:v>54</x:v>
      </x:c>
      <x:c r="K16" s="213" t="n">
        <x:f>'计价假设'!$B$7</x:f>
        <x:v>3000</x:v>
      </x:c>
      <x:c r="L16" s="214" t="n">
        <x:f>ROUND(J16*K16,0)</x:f>
        <x:v>162000</x:v>
      </x:c>
      <x:c r="M16" s="214" t="n">
        <x:f>ROUND(L16*'计价假设'!$B$9,0)</x:f>
        <x:v>149040</x:v>
      </x:c>
      <x:c r="N16" s="215" t="n">
        <x:f>M16/SUM($M$5:$M$17)</x:f>
        <x:v>0.07235211361961547</x:v>
      </x:c>
      <x:c r="O16" s="213" t="n">
        <x:f>'计价假设'!$B$8</x:f>
        <x:v>1750</x:v>
      </x:c>
      <x:c r="P16" s="214" t="n">
        <x:f>ROUND(J16*O16,0)</x:f>
        <x:v>94500</x:v>
      </x:c>
      <x:c r="Q16" s="214" t="n">
        <x:f>ROUND(P16*'计价假设'!$B$10*(1+'计价假设'!$B$12),0)</x:f>
        <x:v>87602</x:v>
      </x:c>
      <x:c r="R16" s="215" t="n">
        <x:f>Q16/SUM($Q$5:$Q$17)</x:f>
        <x:v>0.07235242424642871</x:v>
      </x:c>
      <x:c r="S16" s="209" t="str">
        <x:v>不可按已生产开放计价；需独立业务/安全/运维评审。</x:v>
      </x:c>
      <x:c r="T16" s="209" t="str">
        <x:v>含业务工具、编排、安全、评测和集成；不含模型Token、知识语料采购和生产开放审批。个人签约价含3%开票/税费预留。</x:v>
      </x:c>
    </x:row>
    <x:row r="17" ht="60" hidden="0" customHeight="1">
      <x:c r="A17" s="208" t="str">
        <x:v>A13</x:v>
      </x:c>
      <x:c r="B17" s="208" t="str">
        <x:v>Agent</x:v>
      </x:c>
      <x:c r="C17" s="208" t="str">
        <x:v>评测、性能与可观测性工程</x:v>
      </x:c>
      <x:c r="D17" s="208" t="str">
        <x:v>中高</x:v>
      </x:c>
      <x:c r="E17" s="208" t="str">
        <x:v>高</x:v>
      </x:c>
      <x:c r="F17" s="209" t="str">
        <x:v>固定语料、功能/权限/稳定性测试、耗时分段、运行诊断、部署排障文档。</x:v>
      </x:c>
      <x:c r="G17" s="209" t="str">
        <x:v>持续证明回答正确、安全、可回归，并定位模型和工具瓶颈。</x:v>
      </x:c>
      <x:c r="H17" s="210" t="n">
        <x:v>40</x:v>
      </x:c>
      <x:c r="I17" s="211" t="n">
        <x:v>1.15</x:v>
      </x:c>
      <x:c r="J17" s="212" t="n">
        <x:f>H17*I17</x:f>
        <x:v>46</x:v>
      </x:c>
      <x:c r="K17" s="213" t="n">
        <x:f>'计价假设'!$B$7</x:f>
        <x:v>3000</x:v>
      </x:c>
      <x:c r="L17" s="214" t="n">
        <x:f>ROUND(J17*K17,0)</x:f>
        <x:v>138000</x:v>
      </x:c>
      <x:c r="M17" s="214" t="n">
        <x:f>ROUND(L17*'计价假设'!$B$9,0)</x:f>
        <x:v>126960</x:v>
      </x:c>
      <x:c r="N17" s="215" t="n">
        <x:f>M17/SUM($M$5:$M$17)</x:f>
        <x:v>0.061633281972265024</x:v>
      </x:c>
      <x:c r="O17" s="213" t="n">
        <x:f>'计价假设'!$B$8</x:f>
        <x:v>1750</x:v>
      </x:c>
      <x:c r="P17" s="214" t="n">
        <x:f>ROUND(J17*O17,0)</x:f>
        <x:v>80500</x:v>
      </x:c>
      <x:c r="Q17" s="214" t="n">
        <x:f>ROUND(P17*'计价假设'!$B$10*(1+'计价假设'!$B$12),0)</x:f>
        <x:v>74624</x:v>
      </x:c>
      <x:c r="R17" s="215" t="n">
        <x:f>Q17/SUM($Q$5:$Q$17)</x:f>
        <x:v>0.06163360775970293</x:v>
      </x:c>
      <x:c r="S17" s="209" t="str">
        <x:v>功能80/80成功，但当前整体P95 46.562秒，性能门禁失败。</x:v>
      </x:c>
      <x:c r="T17" s="209" t="str">
        <x:v>含业务工具、编排、安全、评测和集成；不含模型Token、知识语料采购和生产开放审批。个人签约价含3%开票/税费预留。</x:v>
      </x:c>
    </x:row>
    <x:row r="18" ht="15" hidden="0" customHeight="1">
      <x:c r="A18" s="216" t="str">
        <x:v>Agent合计</x:v>
      </x:c>
      <x:c r="B18" s="216"/>
      <x:c r="C18" s="216"/>
      <x:c r="D18" s="216"/>
      <x:c r="E18" s="216"/>
      <x:c r="F18" s="216"/>
      <x:c r="G18" s="216"/>
      <x:c r="H18" s="217" t="n">
        <x:f>SUM(H5:H17)</x:f>
        <x:v>628</x:v>
      </x:c>
      <x:c r="I18" s="216"/>
      <x:c r="J18" s="218" t="n">
        <x:f>SUM(J5:J17)</x:f>
        <x:v>746.35</x:v>
      </x:c>
      <x:c r="K18" s="216"/>
      <x:c r="L18" s="219" t="n">
        <x:f>SUM(L5:L17)</x:f>
        <x:v>2239050</x:v>
      </x:c>
      <x:c r="M18" s="219" t="n">
        <x:f>SUM(M5:M17)</x:f>
        <x:v>2059926</x:v>
      </x:c>
      <x:c r="N18" s="220" t="n">
        <x:f>SUM(N5:N17)</x:f>
        <x:v>1</x:v>
      </x:c>
      <x:c r="O18" s="216"/>
      <x:c r="P18" s="219" t="n">
        <x:f>SUM(P5:P17)</x:f>
        <x:v>1306113</x:v>
      </x:c>
      <x:c r="Q18" s="219" t="n">
        <x:f>SUM(Q5:Q17)</x:f>
        <x:v>1210768</x:v>
      </x:c>
      <x:c r="R18" s="220" t="n">
        <x:f>SUM(R5:R17)</x:f>
        <x:v>1</x:v>
      </x:c>
      <x:c r="S18" s="216"/>
      <x:c r="T18" s="216"/>
    </x:row>
  </x:sheetData>
  <x:mergeCells>
    <x:mergeCell ref="A1:T1"/>
    <x:mergeCell ref="A2:T2"/>
    <x:mergeCell ref="A18:G18"/>
  </x:mergeCells>
  <x:conditionalFormatting sqref="D5:D17">
    <x:cfRule type="containsText" dxfId="2" priority="1" operator="containsText" text="成熟"/>
    <x:cfRule type="containsText" dxfId="3" priority="2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9b8c9ce0977f48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7" hidden="0" customWidth="1"/>
    <x:col min="3" max="3" width="37" hidden="0" customWidth="1"/>
    <x:col min="4" max="4" width="36" hidden="0" customWidth="1"/>
    <x:col min="5" max="5" width="38" hidden="0" customWidth="1"/>
    <x:col min="6" max="6" width="38" hidden="0" customWidth="1"/>
    <x:col min="7" max="7" width="18" hidden="0" customWidth="1"/>
    <x:col min="8" max="8" width="17" hidden="0" customWidth="1"/>
    <x:col min="9" max="9" width="17" hidden="0" customWidth="1"/>
    <x:col min="10" max="10" width="30" hidden="0" customWidth="1"/>
    <x:col min="11" max="11" width="36" hidden="0" customWidth="1"/>
  </x:cols>
  <x:sheetData>
    <x:row r="1" ht="32" customHeight="1">
      <x:c r="A1" s="168" t="str">
        <x:v>公司主体 vs 个人开发者｜报价与责任边界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</x:row>
    <x:row r="2" ht="34" customHeight="1">
      <x:c r="A2" s="170" t="str">
        <x:v>同一套软件的功能价值相同，报价差异来自税务/合同、组织连续性、交付管理、质保、SLA和风险承担方式。</x:v>
      </x:c>
      <x:c r="B2" s="169"/>
      <x:c r="C2" s="169"/>
      <x:c r="D2" s="169"/>
      <x:c r="E2" s="169"/>
      <x:c r="F2" s="169"/>
      <x:c r="G2" s="169"/>
      <x:c r="H2" s="169"/>
      <x:c r="I2" s="169"/>
      <x:c r="J2" s="169"/>
      <x:c r="K2" s="169"/>
    </x:row>
    <x:row r="3">
      <x:c r="A3" s="169"/>
      <x:c r="B3" s="169"/>
      <x:c r="C3" s="169"/>
      <x:c r="D3" s="169"/>
      <x:c r="E3" s="169"/>
      <x:c r="F3" s="169"/>
      <x:c r="G3" s="169"/>
      <x:c r="H3" s="169"/>
      <x:c r="I3" s="169"/>
      <x:c r="J3" s="169"/>
      <x:c r="K3" s="169"/>
    </x:row>
    <x:row r="4" ht="34" customHeight="1">
      <x:c r="A4" s="171" t="str">
        <x:v>对比项</x:v>
      </x:c>
      <x:c r="B4" s="172" t="str">
        <x:v>公司主体</x:v>
      </x:c>
      <x:c r="C4" s="172" t="str">
        <x:v>个人开发者</x:v>
      </x:c>
      <x:c r="D4" s="172" t="str">
        <x:v>对客户的影响</x:v>
      </x:c>
      <x:c r="E4" s="172" t="str">
        <x:v>公司建议写法</x:v>
      </x:c>
      <x:c r="F4" s="172" t="str">
        <x:v>个人建议写法</x:v>
      </x:c>
      <x:c r="G4" s="172" t="str">
        <x:v>可量化参数</x:v>
      </x:c>
      <x:c r="H4" s="172" t="str">
        <x:v>公司数值</x:v>
      </x:c>
      <x:c r="I4" s="172" t="str">
        <x:v>个人数值</x:v>
      </x:c>
      <x:c r="J4" s="172" t="str">
        <x:v>选择建议</x:v>
      </x:c>
      <x:c r="K4" s="173" t="str">
        <x:v>风险提示</x:v>
      </x:c>
    </x:row>
    <x:row r="5" ht="58" customHeight="1">
      <x:c r="A5" s="189" t="str">
        <x:v>软件整体签约价</x:v>
      </x:c>
      <x:c r="B5" s="189" t="str">
        <x:v>较高，包含组织和责任溢价</x:v>
      </x:c>
      <x:c r="C5" s="189" t="str">
        <x:v>较低，核心人员直接交付</x:v>
      </x:c>
      <x:c r="D5" s="189" t="str">
        <x:v>预算与责任保障不同</x:v>
      </x:c>
      <x:c r="E5" s="189" t="str">
        <x:v>含税总价+明确发票类型</x:v>
      </x:c>
      <x:c r="F5" s="189" t="str">
        <x:v>价税口径单列，代开/个税按实际</x:v>
      </x:c>
      <x:c r="G5" s="189" t="str">
        <x:v>建议签约价</x:v>
      </x:c>
      <x:c r="H5" s="194" t="n">
        <x:f>'报价总览'!B7</x:f>
        <x:v>3411416</x:v>
      </x:c>
      <x:c r="I5" s="194" t="n">
        <x:f>'报价总览'!C7</x:f>
        <x:v>2010069</x:v>
      </x:c>
      <x:c r="J5" s="189" t="str">
        <x:v>大额B2B优先公司</x:v>
      </x:c>
      <x:c r="K5" s="189" t="str">
        <x:v>不要只比较裸编码单价</x:v>
      </x:c>
    </x:row>
    <x:row r="6" ht="58" customHeight="1">
      <x:c r="A6" s="191" t="str">
        <x:v>合同与采购</x:v>
      </x:c>
      <x:c r="B6" s="191" t="str">
        <x:v>标准B2B合同、对公付款、供应商准入更顺畅</x:v>
      </x:c>
      <x:c r="C6" s="191" t="str">
        <x:v>可签个人技术服务/承揽合同，部分甲方准入受限</x:v>
      </x:c>
      <x:c r="D6" s="191" t="str">
        <x:v>影响立项、付款、验收和审计</x:v>
      </x:c>
      <x:c r="E6" s="191" t="str">
        <x:v>约定里程碑/验收/SLA/保密/IP</x:v>
      </x:c>
      <x:c r="F6" s="191" t="str">
        <x:v>范围和工时上限必须更清楚</x:v>
      </x:c>
      <x:c r="G6" s="191" t="str">
        <x:v>合同承载</x:v>
      </x:c>
      <x:c r="H6" s="221" t="str">
        <x:v>强</x:v>
      </x:c>
      <x:c r="I6" s="221" t="str">
        <x:v>中</x:v>
      </x:c>
      <x:c r="J6" s="191" t="str">
        <x:v>正式采购优先公司</x:v>
      </x:c>
      <x:c r="K6" s="191" t="str">
        <x:v>甲方模板可能要求法人主体</x:v>
      </x:c>
    </x:row>
    <x:row r="7" ht="58" customHeight="1">
      <x:c r="A7" s="191" t="str">
        <x:v>发票与税务</x:v>
      </x:c>
      <x:c r="B7" s="191" t="str">
        <x:v>可按主体资格开票；本表6%仅示例</x:v>
      </x:c>
      <x:c r="C7" s="191" t="str">
        <x:v>自然人代开或个体户开票，税负因资格/地区而异</x:v>
      </x:c>
      <x:c r="D7" s="191" t="str">
        <x:v>影响甲方进项、个人实收和报价有效性</x:v>
      </x:c>
      <x:c r="E7" s="191" t="str">
        <x:v>报价写“含税，税率以实际为准”</x:v>
      </x:c>
      <x:c r="F7" s="191" t="str">
        <x:v>写“含/不含税及代开承担方”</x:v>
      </x:c>
      <x:c r="G7" s="191" t="str">
        <x:v>开票预留</x:v>
      </x:c>
      <x:c r="H7" s="222" t="n">
        <x:f>'计价假设'!B11</x:f>
        <x:v>0.06</x:v>
      </x:c>
      <x:c r="I7" s="222" t="n">
        <x:f>'计价假设'!B12</x:f>
        <x:v>0.03</x:v>
      </x:c>
      <x:c r="J7" s="191" t="str">
        <x:v>先确认客户开票要求</x:v>
      </x:c>
      <x:c r="K7" s="191" t="str">
        <x:v>需咨询会计/税务，勿把示例当定论</x:v>
      </x:c>
    </x:row>
    <x:row r="8" ht="58" customHeight="1">
      <x:c r="A8" s="191" t="str">
        <x:v>项目管理与多人协作</x:v>
      </x:c>
      <x:c r="B8" s="191" t="str">
        <x:v>可配置PM、前后端、测试、运维/备份人员</x:v>
      </x:c>
      <x:c r="C8" s="191" t="str">
        <x:v>通常由1名核心开发统筹，协作依赖个人网络</x:v>
      </x:c>
      <x:c r="D8" s="191" t="str">
        <x:v>影响并行交付与突发替补</x:v>
      </x:c>
      <x:c r="E8" s="191" t="str">
        <x:v>纳入项目管理和例会机制</x:v>
      </x:c>
      <x:c r="F8" s="191" t="str">
        <x:v>限定沟通窗口与并行任务数</x:v>
      </x:c>
      <x:c r="G8" s="191" t="str">
        <x:v>交付连续性</x:v>
      </x:c>
      <x:c r="H8" s="221" t="str">
        <x:v>高</x:v>
      </x:c>
      <x:c r="I8" s="221" t="str">
        <x:v>低-中</x:v>
      </x:c>
      <x:c r="J8" s="191" t="str">
        <x:v>跨多端/生产上线优先公司</x:v>
      </x:c>
      <x:c r="K8" s="191" t="str">
        <x:v>单点离岗会影响周期</x:v>
      </x:c>
    </x:row>
    <x:row r="9" ht="58" customHeight="1">
      <x:c r="A9" s="191" t="str">
        <x:v>质保</x:v>
      </x:c>
      <x:c r="B9" s="191" t="str">
        <x:v>建议12个月缺陷质保</x:v>
      </x:c>
      <x:c r="C9" s="191" t="str">
        <x:v>建议3个月缺陷质保</x:v>
      </x:c>
      <x:c r="D9" s="191" t="str">
        <x:v>影响缺陷修复成本和客户安心度</x:v>
      </x:c>
      <x:c r="E9" s="191" t="str">
        <x:v>12个月缺陷修复，新增需求另计</x:v>
      </x:c>
      <x:c r="F9" s="191" t="str">
        <x:v>3个月缺陷修复，超期按工时包</x:v>
      </x:c>
      <x:c r="G9" s="191" t="str">
        <x:v>质保月数</x:v>
      </x:c>
      <x:c r="H9" s="223" t="n">
        <x:f>'计价假设'!B13</x:f>
        <x:v>12</x:v>
      </x:c>
      <x:c r="I9" s="223" t="n">
        <x:f>'计价假设'!B14</x:f>
        <x:v>3</x:v>
      </x:c>
      <x:c r="J9" s="191" t="str">
        <x:v>长期运行优先公司</x:v>
      </x:c>
      <x:c r="K9" s="191" t="str">
        <x:v>需定义缺陷与需求变更</x:v>
      </x:c>
    </x:row>
    <x:row r="10" ht="58" customHeight="1">
      <x:c r="A10" s="191" t="str">
        <x:v>SLA与响应</x:v>
      </x:c>
      <x:c r="B10" s="191" t="str">
        <x:v>可约定工作日/紧急等级、备份人和升级机制</x:v>
      </x:c>
      <x:c r="C10" s="191" t="str">
        <x:v>建议仅承诺工作日窗口，不承诺7×24</x:v>
      </x:c>
      <x:c r="D10" s="191" t="str">
        <x:v>影响生产故障恢复</x:v>
      </x:c>
      <x:c r="E10" s="191" t="str">
        <x:v>分P0/P1/P2和响应/恢复目标</x:v>
      </x:c>
      <x:c r="F10" s="191" t="str">
        <x:v>限定支持时段和月度工时</x:v>
      </x:c>
      <x:c r="G10" s="191" t="str">
        <x:v>SLA等级</x:v>
      </x:c>
      <x:c r="H10" s="221" t="str">
        <x:v>可定制</x:v>
      </x:c>
      <x:c r="I10" s="221" t="str">
        <x:v>有限</x:v>
      </x:c>
      <x:c r="J10" s="191" t="str">
        <x:v>生产核心系统优先公司</x:v>
      </x:c>
      <x:c r="K10" s="191" t="str">
        <x:v>恢复时间依赖甲方环境与第三方</x:v>
      </x:c>
    </x:row>
    <x:row r="11" ht="58" customHeight="1">
      <x:c r="A11" s="191" t="str">
        <x:v>知识产权与源码交接</x:v>
      </x:c>
      <x:c r="B11" s="191" t="str">
        <x:v>可进行公司级著作权/资产交付和长期托管</x:v>
      </x:c>
      <x:c r="C11" s="191" t="str">
        <x:v>可完整交源码，但个人持续承接能力需约定</x:v>
      </x:c>
      <x:c r="D11" s="191" t="str">
        <x:v>影响后续审计、融资、招采和接管</x:v>
      </x:c>
      <x:c r="E11" s="191" t="str">
        <x:v>列交付清单、第三方许可和IP归属</x:v>
      </x:c>
      <x:c r="F11" s="191" t="str">
        <x:v>列仓库、账号、密钥移交与协作边界</x:v>
      </x:c>
      <x:c r="G11" s="191" t="str">
        <x:v>IP交接</x:v>
      </x:c>
      <x:c r="H11" s="221" t="str">
        <x:v>规范</x:v>
      </x:c>
      <x:c r="I11" s="221" t="str">
        <x:v>可规范</x:v>
      </x:c>
      <x:c r="J11" s="191" t="str">
        <x:v>两者都必须书面约定</x:v>
      </x:c>
      <x:c r="K11" s="191" t="str">
        <x:v>开源组件不等于全部可再授权</x:v>
      </x:c>
    </x:row>
    <x:row r="12" ht="58" customHeight="1">
      <x:c r="A12" s="191" t="str">
        <x:v>首年运维建议</x:v>
      </x:c>
      <x:c r="B12" s="191" t="str">
        <x:v>签约价12%/年起，可扩展到驻场/7×24</x:v>
      </x:c>
      <x:c r="C12" s="191" t="str">
        <x:v>签约价8%/年起，需封顶工时</x:v>
      </x:c>
      <x:c r="D12" s="191" t="str">
        <x:v>影响长期成本可预期性</x:v>
      </x:c>
      <x:c r="E12" s="191" t="str">
        <x:v>独立运维合同和SLA</x:v>
      </x:c>
      <x:c r="F12" s="191" t="str">
        <x:v>月度工时包/按次支持</x:v>
      </x:c>
      <x:c r="G12" s="191" t="str">
        <x:v>首年运维</x:v>
      </x:c>
      <x:c r="H12" s="199" t="n">
        <x:f>'报价总览'!B7*'计价假设'!B15</x:f>
        <x:v>409369.92</x:v>
      </x:c>
      <x:c r="I12" s="199" t="n">
        <x:f>'报价总览'!C7*'计价假设'!B16</x:f>
        <x:v>160805.52</x:v>
      </x:c>
      <x:c r="J12" s="191" t="str">
        <x:v>稳定生产优先公司</x:v>
      </x:c>
      <x:c r="K12" s="191" t="str">
        <x:v>云、模型、短信、硬件与差旅另计</x:v>
      </x:c>
    </x:row>
    <x:row r="13" ht="58" customHeight="1">
      <x:c r="A13" s="191" t="str">
        <x:v>适合场景</x:v>
      </x:c>
      <x:c r="B13" s="191" t="str">
        <x:v>正式生产、招采、跨部门、长期运维</x:v>
      </x:c>
      <x:c r="C13" s="191" t="str">
        <x:v>预算敏感、阶段迭代、原型/顾问、小范围部署</x:v>
      </x:c>
      <x:c r="D13" s="191" t="str">
        <x:v>决定是否值得为组织保障付费</x:v>
      </x:c>
      <x:c r="E13" s="191" t="str">
        <x:v>公司承担更完整交付责任</x:v>
      </x:c>
      <x:c r="F13" s="191" t="str">
        <x:v>个人保持清晰边界和快速沟通</x:v>
      </x:c>
      <x:c r="G13" s="191" t="str">
        <x:v>推荐</x:v>
      </x:c>
      <x:c r="H13" s="221" t="str">
        <x:v>生产项目</x:v>
      </x:c>
      <x:c r="I13" s="221" t="str">
        <x:v>阶段项目</x:v>
      </x:c>
      <x:c r="J13" s="191" t="str">
        <x:v>按责任而非只按价格选择</x:v>
      </x:c>
      <x:c r="K13" s="191" t="str">
        <x:v>个人不宜低价承诺公司级无限责任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29" hidden="0" customWidth="1"/>
    <x:col min="4" max="4" width="14" hidden="0" customWidth="1"/>
    <x:col min="5" max="5" width="55" hidden="0" customWidth="1"/>
    <x:col min="6" max="6" width="11" hidden="0" customWidth="1"/>
    <x:col min="7" max="7" width="10" hidden="0" customWidth="1"/>
    <x:col min="8" max="8" width="11" hidden="0" customWidth="1"/>
    <x:col min="9" max="9" width="14" hidden="0" customWidth="1"/>
    <x:col min="10" max="10" width="14" hidden="0" customWidth="1"/>
    <x:col min="11" max="11" width="15" hidden="0" customWidth="1"/>
    <x:col min="12" max="12" width="15" hidden="0" customWidth="1"/>
    <x:col min="13" max="13" width="17" hidden="0" customWidth="1"/>
  </x:cols>
  <x:sheetData>
    <x:row r="1" ht="32" customHeight="1">
      <x:c r="A1" s="168" t="str">
        <x:v>生产化缺口与追加预算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  <x:c r="L1" s="169"/>
      <x:c r="M1" s="169"/>
    </x:row>
    <x:row r="2" ht="34" customHeight="1">
      <x:c r="A2" s="170" t="str">
        <x:v>这些工作不应被误认为当前已全面生产就绪；建议作为独立里程碑或先决条件。价格为规划级预算，需在目标环境和责任范围确认后锁定。</x:v>
      </x:c>
      <x:c r="B2" s="169"/>
      <x:c r="C2" s="169"/>
      <x:c r="D2" s="169"/>
      <x:c r="E2" s="169"/>
      <x:c r="F2" s="169"/>
      <x:c r="G2" s="169"/>
      <x:c r="H2" s="169"/>
      <x:c r="I2" s="169"/>
      <x:c r="J2" s="169"/>
      <x:c r="K2" s="169"/>
      <x:c r="L2" s="169"/>
      <x:c r="M2" s="169"/>
    </x:row>
    <x:row r="3">
      <x:c r="A3" s="169"/>
      <x:c r="B3" s="169"/>
      <x:c r="C3" s="169"/>
      <x:c r="D3" s="169"/>
      <x:c r="E3" s="169"/>
      <x:c r="F3" s="169"/>
      <x:c r="G3" s="169"/>
      <x:c r="H3" s="169"/>
      <x:c r="I3" s="169"/>
      <x:c r="J3" s="169"/>
      <x:c r="K3" s="169"/>
      <x:c r="L3" s="169"/>
      <x:c r="M3" s="169"/>
    </x:row>
    <x:row r="4" ht="34" customHeight="1">
      <x:c r="A4" s="171" t="str">
        <x:v>编号</x:v>
      </x:c>
      <x:c r="B4" s="172" t="str">
        <x:v>系统部分</x:v>
      </x:c>
      <x:c r="C4" s="172" t="str">
        <x:v>缺口项</x:v>
      </x:c>
      <x:c r="D4" s="172" t="str">
        <x:v>优先级</x:v>
      </x:c>
      <x:c r="E4" s="172" t="str">
        <x:v>当前缺口/完成标准</x:v>
      </x:c>
      <x:c r="F4" s="172" t="str">
        <x:v>基础人天</x:v>
      </x:c>
      <x:c r="G4" s="172" t="str">
        <x:v>复杂度</x:v>
      </x:c>
      <x:c r="H4" s="172" t="str">
        <x:v>加权人天</x:v>
      </x:c>
      <x:c r="I4" s="172" t="str">
        <x:v>公司日费率</x:v>
      </x:c>
      <x:c r="J4" s="172" t="str">
        <x:v>个人日费率</x:v>
      </x:c>
      <x:c r="K4" s="172" t="str">
        <x:v>公司预算</x:v>
      </x:c>
      <x:c r="L4" s="172" t="str">
        <x:v>个人预算</x:v>
      </x:c>
      <x:c r="M4" s="173" t="str">
        <x:v>是否计入主报价</x:v>
      </x:c>
    </x:row>
    <x:row r="5" ht="54" customHeight="1">
      <x:c r="A5" s="189" t="str">
        <x:v>G01</x:v>
      </x:c>
      <x:c r="B5" s="189" t="str">
        <x:v>原系统</x:v>
      </x:c>
      <x:c r="C5" s="189" t="str">
        <x:v>生产部署与回滚演练</x:v>
      </x:c>
      <x:c r="D5" s="189" t="str">
        <x:v>P0</x:v>
      </x:c>
      <x:c r="E5" s="189" t="str">
        <x:v>完成正式环境部署、同版本包、密钥/Redis、备份恢复、回滚和故障注入演练。</x:v>
      </x:c>
      <x:c r="F5" s="224" t="n">
        <x:v>18</x:v>
      </x:c>
      <x:c r="G5" s="225" t="n">
        <x:v>1.1</x:v>
      </x:c>
      <x:c r="H5" s="226" t="n">
        <x:f>F5*G5</x:f>
        <x:v>19.8</x:v>
      </x:c>
      <x:c r="I5" s="194" t="n">
        <x:f>'计价假设'!$B$5</x:f>
        <x:v>2300</x:v>
      </x:c>
      <x:c r="J5" s="194" t="n">
        <x:f>'计价假设'!$B$6</x:f>
        <x:v>1350</x:v>
      </x:c>
      <x:c r="K5" s="194" t="n">
        <x:f>ROUND(H5*I5,0)</x:f>
        <x:v>45540</x:v>
      </x:c>
      <x:c r="L5" s="194" t="n">
        <x:f>ROUND(H5*J5*(1+'计价假设'!$B$12),0)</x:f>
        <x:v>27532</x:v>
      </x:c>
      <x:c r="M5" s="189" t="str">
        <x:v>否，单独预算</x:v>
      </x:c>
    </x:row>
    <x:row r="6" ht="54" customHeight="1">
      <x:c r="A6" s="191" t="str">
        <x:v>G02</x:v>
      </x:c>
      <x:c r="B6" s="191" t="str">
        <x:v>原系统</x:v>
      </x:c>
      <x:c r="C6" s="191" t="str">
        <x:v>监控与告警接入</x:v>
      </x:c>
      <x:c r="D6" s="191" t="str">
        <x:v>P1</x:v>
      </x:c>
      <x:c r="E6" s="191" t="str">
        <x:v>接入目标告警平台，覆盖Java/Python/MCP、报表、库存历史任务和核心业务异常。</x:v>
      </x:c>
      <x:c r="F6" s="227" t="n">
        <x:v>12</x:v>
      </x:c>
      <x:c r="G6" s="228" t="n">
        <x:v>1</x:v>
      </x:c>
      <x:c r="H6" s="229" t="n">
        <x:f>F6*G6</x:f>
        <x:v>12</x:v>
      </x:c>
      <x:c r="I6" s="199" t="n">
        <x:f>'计价假设'!$B$5</x:f>
        <x:v>2300</x:v>
      </x:c>
      <x:c r="J6" s="199" t="n">
        <x:f>'计价假设'!$B$6</x:f>
        <x:v>1350</x:v>
      </x:c>
      <x:c r="K6" s="199" t="n">
        <x:f>ROUND(H6*I6,0)</x:f>
        <x:v>27600</x:v>
      </x:c>
      <x:c r="L6" s="199" t="n">
        <x:f>ROUND(H6*J6*(1+'计价假设'!$B$12),0)</x:f>
        <x:v>16686</x:v>
      </x:c>
      <x:c r="M6" s="191" t="str">
        <x:v>否，单独预算</x:v>
      </x:c>
    </x:row>
    <x:row r="7" ht="54" customHeight="1">
      <x:c r="A7" s="191" t="str">
        <x:v>G03</x:v>
      </x:c>
      <x:c r="B7" s="191" t="str">
        <x:v>原系统</x:v>
      </x:c>
      <x:c r="C7" s="191" t="str">
        <x:v>正式角色与真人UAT</x:v>
      </x:c>
      <x:c r="D7" s="191" t="str">
        <x:v>P1</x:v>
      </x:c>
      <x:c r="E7" s="191" t="str">
        <x:v>确定仓管/质检/生产主管角色，组织真实业务问题验收和权限签字。</x:v>
      </x:c>
      <x:c r="F7" s="227" t="n">
        <x:v>15</x:v>
      </x:c>
      <x:c r="G7" s="228" t="n">
        <x:v>1.15</x:v>
      </x:c>
      <x:c r="H7" s="229" t="n">
        <x:f>F7*G7</x:f>
        <x:v>17.25</x:v>
      </x:c>
      <x:c r="I7" s="199" t="n">
        <x:f>'计价假设'!$B$5</x:f>
        <x:v>2300</x:v>
      </x:c>
      <x:c r="J7" s="199" t="n">
        <x:f>'计价假设'!$B$6</x:f>
        <x:v>1350</x:v>
      </x:c>
      <x:c r="K7" s="199" t="n">
        <x:f>ROUND(H7*I7,0)</x:f>
        <x:v>39675</x:v>
      </x:c>
      <x:c r="L7" s="199" t="n">
        <x:f>ROUND(H7*J7*(1+'计价假设'!$B$12),0)</x:f>
        <x:v>23986</x:v>
      </x:c>
      <x:c r="M7" s="191" t="str">
        <x:v>否，单独预算</x:v>
      </x:c>
    </x:row>
    <x:row r="8" ht="54" customHeight="1">
      <x:c r="A8" s="191" t="str">
        <x:v>G04</x:v>
      </x:c>
      <x:c r="B8" s="191" t="str">
        <x:v>原系统</x:v>
      </x:c>
      <x:c r="C8" s="191" t="str">
        <x:v>前端性能与依赖治理</x:v>
      </x:c>
      <x:c r="D8" s="191" t="str">
        <x:v>P2</x:v>
      </x:c>
      <x:c r="E8" s="191" t="str">
        <x:v>拆分约1.27MB主chunk，处理Sass legacy警告并补充性能基线。</x:v>
      </x:c>
      <x:c r="F8" s="227" t="n">
        <x:v>12</x:v>
      </x:c>
      <x:c r="G8" s="228" t="n">
        <x:v>1.05</x:v>
      </x:c>
      <x:c r="H8" s="229" t="n">
        <x:f>F8*G8</x:f>
        <x:v>12.600000000000001</x:v>
      </x:c>
      <x:c r="I8" s="199" t="n">
        <x:f>'计价假设'!$B$5</x:f>
        <x:v>2300</x:v>
      </x:c>
      <x:c r="J8" s="199" t="n">
        <x:f>'计价假设'!$B$6</x:f>
        <x:v>1350</x:v>
      </x:c>
      <x:c r="K8" s="199" t="n">
        <x:f>ROUND(H8*I8,0)</x:f>
        <x:v>28980</x:v>
      </x:c>
      <x:c r="L8" s="199" t="n">
        <x:f>ROUND(H8*J8*(1+'计价假设'!$B$12),0)</x:f>
        <x:v>17520</x:v>
      </x:c>
      <x:c r="M8" s="191" t="str">
        <x:v>否，单独预算</x:v>
      </x:c>
    </x:row>
    <x:row r="9" ht="54" customHeight="1">
      <x:c r="A9" s="191" t="str">
        <x:v>G05</x:v>
      </x:c>
      <x:c r="B9" s="191" t="str">
        <x:v>Agent</x:v>
      </x:c>
      <x:c r="C9" s="191" t="str">
        <x:v>正式RAG资产接收与发布</x:v>
      </x:c>
      <x:c r="D9" s="191" t="str">
        <x:v>P0</x:v>
      </x:c>
      <x:c r="E9" s="191" t="str">
        <x:v>接收可信原始材料、artifact和匹配模型，校验后完成切换、回滚和浏览器验收。</x:v>
      </x:c>
      <x:c r="F9" s="227" t="n">
        <x:v>15</x:v>
      </x:c>
      <x:c r="G9" s="228" t="n">
        <x:v>1.2</x:v>
      </x:c>
      <x:c r="H9" s="229" t="n">
        <x:f>F9*G9</x:f>
        <x:v>18</x:v>
      </x:c>
      <x:c r="I9" s="199" t="n">
        <x:f>'计价假设'!$B$7</x:f>
        <x:v>3000</x:v>
      </x:c>
      <x:c r="J9" s="199" t="n">
        <x:f>'计价假设'!$B$8</x:f>
        <x:v>1750</x:v>
      </x:c>
      <x:c r="K9" s="199" t="n">
        <x:f>ROUND(H9*I9,0)</x:f>
        <x:v>54000</x:v>
      </x:c>
      <x:c r="L9" s="199" t="n">
        <x:f>ROUND(H9*J9*(1+'计价假设'!$B$12),0)</x:f>
        <x:v>32445</x:v>
      </x:c>
      <x:c r="M9" s="191" t="str">
        <x:v>否，单独预算</x:v>
      </x:c>
    </x:row>
    <x:row r="10" ht="54" customHeight="1">
      <x:c r="A10" s="191" t="str">
        <x:v>G06</x:v>
      </x:c>
      <x:c r="B10" s="191" t="str">
        <x:v>Agent</x:v>
      </x:c>
      <x:c r="C10" s="191" t="str">
        <x:v>Agent性能专项优化</x:v>
      </x:c>
      <x:c r="D10" s="191" t="str">
        <x:v>P0</x:v>
      </x:c>
      <x:c r="E10" s="191" t="str">
        <x:v>针对主路由/专家决策/结果分析做模型、Prompt、缓存和裁剪A/B，使P95进入目标。</x:v>
      </x:c>
      <x:c r="F10" s="227" t="n">
        <x:v>28</x:v>
      </x:c>
      <x:c r="G10" s="228" t="n">
        <x:v>1.25</x:v>
      </x:c>
      <x:c r="H10" s="229" t="n">
        <x:f>F10*G10</x:f>
        <x:v>35</x:v>
      </x:c>
      <x:c r="I10" s="199" t="n">
        <x:f>'计价假设'!$B$7</x:f>
        <x:v>3000</x:v>
      </x:c>
      <x:c r="J10" s="199" t="n">
        <x:f>'计价假设'!$B$8</x:f>
        <x:v>1750</x:v>
      </x:c>
      <x:c r="K10" s="199" t="n">
        <x:f>ROUND(H10*I10,0)</x:f>
        <x:v>105000</x:v>
      </x:c>
      <x:c r="L10" s="199" t="n">
        <x:f>ROUND(H10*J10*(1+'计价假设'!$B$12),0)</x:f>
        <x:v>63088</x:v>
      </x:c>
      <x:c r="M10" s="191" t="str">
        <x:v>否，单独预算</x:v>
      </x:c>
    </x:row>
    <x:row r="11" ht="54" customHeight="1">
      <x:c r="A11" s="191" t="str">
        <x:v>G07</x:v>
      </x:c>
      <x:c r="B11" s="191" t="str">
        <x:v>Agent</x:v>
      </x:c>
      <x:c r="C11" s="191" t="str">
        <x:v>库存历史自然窗口积累与放行</x:v>
      </x:c>
      <x:c r="D11" s="191" t="str">
        <x:v>P1</x:v>
      </x:c>
      <x:c r="E11" s="191" t="str">
        <x:v>安装目标机计划任务，积累连续7天可信快照和守恒对账后通过门禁。</x:v>
      </x:c>
      <x:c r="F11" s="227" t="n">
        <x:v>10</x:v>
      </x:c>
      <x:c r="G11" s="228" t="n">
        <x:v>1.05</x:v>
      </x:c>
      <x:c r="H11" s="229" t="n">
        <x:f>F11*G11</x:f>
        <x:v>10.5</x:v>
      </x:c>
      <x:c r="I11" s="199" t="n">
        <x:f>'计价假设'!$B$7</x:f>
        <x:v>3000</x:v>
      </x:c>
      <x:c r="J11" s="199" t="n">
        <x:f>'计价假设'!$B$8</x:f>
        <x:v>1750</x:v>
      </x:c>
      <x:c r="K11" s="199" t="n">
        <x:f>ROUND(H11*I11,0)</x:f>
        <x:v>31500</x:v>
      </x:c>
      <x:c r="L11" s="199" t="n">
        <x:f>ROUND(H11*J11*(1+'计价假设'!$B$12),0)</x:f>
        <x:v>18926</x:v>
      </x:c>
      <x:c r="M11" s="191" t="str">
        <x:v>否，单独预算</x:v>
      </x:c>
    </x:row>
    <x:row r="12" ht="54" customHeight="1">
      <x:c r="A12" s="191" t="str">
        <x:v>G08</x:v>
      </x:c>
      <x:c r="B12" s="191" t="str">
        <x:v>Agent</x:v>
      </x:c>
      <x:c r="C12" s="191" t="str">
        <x:v>报表权限与运行告警生产化</x:v>
      </x:c>
      <x:c r="D12" s="191" t="str">
        <x:v>P1</x:v>
      </x:c>
      <x:c r="E12" s="191" t="str">
        <x:v>完成最小权限、真人UAT、告警、保留策略与运维值守口径。</x:v>
      </x:c>
      <x:c r="F12" s="227" t="n">
        <x:v>12</x:v>
      </x:c>
      <x:c r="G12" s="228" t="n">
        <x:v>1.1</x:v>
      </x:c>
      <x:c r="H12" s="229" t="n">
        <x:f>F12*G12</x:f>
        <x:v>13.200000000000001</x:v>
      </x:c>
      <x:c r="I12" s="199" t="n">
        <x:f>'计价假设'!$B$7</x:f>
        <x:v>3000</x:v>
      </x:c>
      <x:c r="J12" s="199" t="n">
        <x:f>'计价假设'!$B$8</x:f>
        <x:v>1750</x:v>
      </x:c>
      <x:c r="K12" s="199" t="n">
        <x:f>ROUND(H12*I12,0)</x:f>
        <x:v>39600</x:v>
      </x:c>
      <x:c r="L12" s="199" t="n">
        <x:f>ROUND(H12*J12*(1+'计价假设'!$B$12),0)</x:f>
        <x:v>23793</x:v>
      </x:c>
      <x:c r="M12" s="191" t="str">
        <x:v>否，单独预算</x:v>
      </x:c>
    </x:row>
    <x:row r="13" ht="54" customHeight="1">
      <x:c r="A13" s="191" t="str">
        <x:v>G09</x:v>
      </x:c>
      <x:c r="B13" s="191" t="str">
        <x:v>Agent</x:v>
      </x:c>
      <x:c r="C13" s="191" t="str">
        <x:v>L3成品入库生产审批与灰度</x:v>
      </x:c>
      <x:c r="D13" s="191" t="str">
        <x:v>独立审批</x:v>
      </x:c>
      <x:c r="E13" s="191" t="str">
        <x:v>保持默认关闭；经业务/安全/运维批准后小范围灰度、回滚与审计复核。</x:v>
      </x:c>
      <x:c r="F13" s="227" t="n">
        <x:v>24</x:v>
      </x:c>
      <x:c r="G13" s="228" t="n">
        <x:v>1.3</x:v>
      </x:c>
      <x:c r="H13" s="229" t="n">
        <x:f>F13*G13</x:f>
        <x:v>31.200000000000003</x:v>
      </x:c>
      <x:c r="I13" s="199" t="n">
        <x:f>'计价假设'!$B$7</x:f>
        <x:v>3000</x:v>
      </x:c>
      <x:c r="J13" s="199" t="n">
        <x:f>'计价假设'!$B$8</x:f>
        <x:v>1750</x:v>
      </x:c>
      <x:c r="K13" s="199" t="n">
        <x:f>ROUND(H13*I13,0)</x:f>
        <x:v>93600</x:v>
      </x:c>
      <x:c r="L13" s="199" t="n">
        <x:f>ROUND(H13*J13*(1+'计价假设'!$B$12),0)</x:f>
        <x:v>56238</x:v>
      </x:c>
      <x:c r="M13" s="191" t="str">
        <x:v>否，单独预算</x:v>
      </x:c>
    </x:row>
    <x:row r="14" ht="54" customHeight="1">
      <x:c r="A14" s="191" t="str">
        <x:v>G10</x:v>
      </x:c>
      <x:c r="B14" s="191" t="str">
        <x:v>Agent</x:v>
      </x:c>
      <x:c r="C14" s="191" t="str">
        <x:v>正式验收语料与持续评测</x:v>
      </x:c>
      <x:c r="D14" s="191" t="str">
        <x:v>P1</x:v>
      </x:c>
      <x:c r="E14" s="191" t="str">
        <x:v>建立生产代表性问题集、准确率/拒答/权限/延迟门槛和版本回归流程。</x:v>
      </x:c>
      <x:c r="F14" s="227" t="n">
        <x:v>15</x:v>
      </x:c>
      <x:c r="G14" s="228" t="n">
        <x:v>1.1</x:v>
      </x:c>
      <x:c r="H14" s="229" t="n">
        <x:f>F14*G14</x:f>
        <x:v>16.5</x:v>
      </x:c>
      <x:c r="I14" s="199" t="n">
        <x:f>'计价假设'!$B$7</x:f>
        <x:v>3000</x:v>
      </x:c>
      <x:c r="J14" s="199" t="n">
        <x:f>'计价假设'!$B$8</x:f>
        <x:v>1750</x:v>
      </x:c>
      <x:c r="K14" s="199" t="n">
        <x:f>ROUND(H14*I14,0)</x:f>
        <x:v>49500</x:v>
      </x:c>
      <x:c r="L14" s="199" t="n">
        <x:f>ROUND(H14*J14*(1+'计价假设'!$B$12),0)</x:f>
        <x:v>29741</x:v>
      </x:c>
      <x:c r="M14" s="191" t="str">
        <x:v>否，单独预算</x:v>
      </x:c>
    </x:row>
    <x:row r="15">
      <x:c r="A15" s="169"/>
      <x:c r="B15" s="169"/>
      <x:c r="C15" s="169"/>
      <x:c r="D15" s="169"/>
      <x:c r="E15" s="169"/>
      <x:c r="F15" s="169"/>
      <x:c r="G15" s="169"/>
      <x:c r="H15" s="169"/>
      <x:c r="I15" s="169"/>
      <x:c r="J15" s="169"/>
      <x:c r="K15" s="169"/>
      <x:c r="L15" s="169"/>
      <x:c r="M15" s="169"/>
    </x:row>
    <x:row r="16">
      <x:c r="A16" s="216" t="str">
        <x:v>生产化缺口合计（规划级）</x:v>
      </x:c>
      <x:c r="B16" s="216"/>
      <x:c r="C16" s="216"/>
      <x:c r="D16" s="216"/>
      <x:c r="E16" s="216"/>
      <x:c r="F16" s="216"/>
      <x:c r="G16" s="216"/>
      <x:c r="H16" s="218" t="n">
        <x:f>SUM(H5:H14)</x:f>
        <x:v>186.05</x:v>
      </x:c>
      <x:c r="I16" s="216"/>
      <x:c r="J16" s="216"/>
      <x:c r="K16" s="219" t="n">
        <x:f>SUM(K5:K14)</x:f>
        <x:v>514995</x:v>
      </x:c>
      <x:c r="L16" s="219" t="n">
        <x:f>SUM(L5:L14)</x:f>
        <x:v>309955</x:v>
      </x:c>
      <x:c r="M16" s="216"/>
    </x:row>
    <x:row r="17">
      <x:c r="A17" s="169"/>
      <x:c r="B17" s="169"/>
      <x:c r="C17" s="169"/>
      <x:c r="D17" s="169"/>
      <x:c r="E17" s="169"/>
      <x:c r="F17" s="169"/>
      <x:c r="G17" s="169"/>
      <x:c r="H17" s="169"/>
      <x:c r="I17" s="169"/>
      <x:c r="J17" s="169"/>
      <x:c r="K17" s="169"/>
      <x:c r="L17" s="169"/>
      <x:c r="M17" s="169"/>
    </x:row>
    <x:row r="18">
      <x:c r="A18" s="230" t="str">
        <x:v>重要：G09 L3成品入库生产审批与灰度只有在甲方业务、安全、运维责任人批准后才可实施；本报价不授权Agent写库存，也不包含出库、调拨、半成品入库等其他L3/L4能力。</x:v>
      </x:c>
      <x:c r="B18" s="169"/>
      <x:c r="C18" s="169"/>
      <x:c r="D18" s="169"/>
      <x:c r="E18" s="169"/>
      <x:c r="F18" s="169"/>
      <x:c r="G18" s="169"/>
      <x:c r="H18" s="169"/>
      <x:c r="I18" s="169"/>
      <x:c r="J18" s="169"/>
      <x:c r="K18" s="169"/>
      <x:c r="L18" s="169"/>
      <x:c r="M18" s="169"/>
    </x:row>
  </x:sheetData>
  <x:mergeCells>
    <x:mergeCell ref="A1:M1"/>
    <x:mergeCell ref="A2:M2"/>
    <x:mergeCell ref="A16:G16"/>
    <x:mergeCell ref="A18:M19"/>
  </x:mergeCells>
  <x:conditionalFormatting sqref="D5:D14">
    <x:cfRule type="containsText" dxfId="4" priority="1" operator="containsText" text="P0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8" hidden="0" customWidth="1"/>
    <x:col min="4" max="4" width="54" hidden="0" customWidth="1"/>
    <x:col min="5" max="5" width="40" hidden="0" customWidth="1"/>
    <x:col min="6" max="6" width="43" hidden="0" customWidth="1"/>
    <x:col min="7" max="7" width="40" hidden="0" customWidth="1"/>
    <x:col min="8" max="8" width="38" hidden="0" customWidth="1"/>
  </x:cols>
  <x:sheetData>
    <x:row r="1" ht="32" customHeight="1">
      <x:c r="A1" s="168" t="str">
        <x:v>计价假设与可调参数</x:v>
      </x:c>
      <x:c r="B1" s="169"/>
      <x:c r="C1" s="169"/>
      <x:c r="D1" s="169"/>
      <x:c r="E1" s="169"/>
      <x:c r="F1" s="169"/>
      <x:c r="G1" s="169"/>
      <x:c r="H1" s="169"/>
    </x:row>
    <x:row r="2" ht="34" customHeight="1">
      <x:c r="A2" s="170" t="str">
        <x:v>评估基准日：2026-08-13。黄色单元格为报价人可调整输入；调整后总览、功能分摊和方案对比会自动更新。</x:v>
      </x:c>
      <x:c r="B2" s="169"/>
      <x:c r="C2" s="169"/>
      <x:c r="D2" s="169"/>
      <x:c r="E2" s="169"/>
      <x:c r="F2" s="169"/>
      <x:c r="G2" s="169"/>
      <x:c r="H2" s="169"/>
    </x:row>
    <x:row r="3">
      <x:c r="A3" s="169"/>
      <x:c r="B3" s="169"/>
      <x:c r="C3" s="169"/>
      <x:c r="D3" s="169"/>
      <x:c r="E3" s="169"/>
      <x:c r="F3" s="169"/>
      <x:c r="G3" s="169"/>
      <x:c r="H3" s="169"/>
    </x:row>
    <x:row r="4" ht="34" customHeight="1">
      <x:c r="A4" s="171" t="str">
        <x:v>参数</x:v>
      </x:c>
      <x:c r="B4" s="172" t="str">
        <x:v>取值</x:v>
      </x:c>
      <x:c r="C4" s="172" t="str">
        <x:v>单位/格式</x:v>
      </x:c>
      <x:c r="D4" s="173" t="str">
        <x:v>说明</x:v>
      </x:c>
      <x:c r="E4" s="169"/>
      <x:c r="F4" s="169"/>
      <x:c r="G4" s="169"/>
      <x:c r="H4" s="169"/>
    </x:row>
    <x:row r="5" ht="15" hidden="0" customHeight="1">
      <x:c r="A5" s="169" t="str">
        <x:v>公司-原系统日费率</x:v>
      </x:c>
      <x:c r="B5" s="231" t="n">
        <x:v>2300</x:v>
      </x:c>
      <x:c r="C5" s="169" t="str">
        <x:v>元/加权人天</x:v>
      </x:c>
      <x:c r="D5" s="169" t="str">
        <x:v>包含组织管理、测试/交付、发票与质保责任的综合费率。</x:v>
      </x:c>
      <x:c r="E5" s="169"/>
      <x:c r="F5" s="169"/>
      <x:c r="G5" s="169"/>
      <x:c r="H5" s="169"/>
    </x:row>
    <x:row r="6" ht="15" hidden="0" customHeight="1">
      <x:c r="A6" s="169" t="str">
        <x:v>个人-原系统日费率</x:v>
      </x:c>
      <x:c r="B6" s="231" t="n">
        <x:v>1350</x:v>
      </x:c>
      <x:c r="C6" s="169" t="str">
        <x:v>元/加权人天</x:v>
      </x:c>
      <x:c r="D6" s="169" t="str">
        <x:v>个人高级全栈/业务开发综合费率，连续性和组织保障较弱。</x:v>
      </x:c>
      <x:c r="E6" s="169"/>
      <x:c r="F6" s="169"/>
      <x:c r="G6" s="169"/>
      <x:c r="H6" s="169"/>
    </x:row>
    <x:row r="7" ht="15" hidden="0" customHeight="1">
      <x:c r="A7" s="169" t="str">
        <x:v>公司-Agent日费率</x:v>
      </x:c>
      <x:c r="B7" s="231" t="n">
        <x:v>3000</x:v>
      </x:c>
      <x:c r="C7" s="169" t="str">
        <x:v>元/加权人天</x:v>
      </x:c>
      <x:c r="D7" s="169" t="str">
        <x:v>复合AI/MCP/后端/数据语义/评测与安全工程费率。</x:v>
      </x:c>
      <x:c r="E7" s="169"/>
      <x:c r="F7" s="169"/>
      <x:c r="G7" s="169"/>
      <x:c r="H7" s="169"/>
    </x:row>
    <x:row r="8" ht="15" hidden="0" customHeight="1">
      <x:c r="A8" s="169" t="str">
        <x:v>个人-Agent日费率</x:v>
      </x:c>
      <x:c r="B8" s="231" t="n">
        <x:v>1750</x:v>
      </x:c>
      <x:c r="C8" s="169" t="str">
        <x:v>元/加权人天</x:v>
      </x:c>
      <x:c r="D8" s="169" t="str">
        <x:v>个人复合Agent工程费率，实施并发和备份能力有限。</x:v>
      </x:c>
      <x:c r="E8" s="169"/>
      <x:c r="F8" s="169"/>
      <x:c r="G8" s="169"/>
      <x:c r="H8" s="169"/>
    </x:row>
    <x:row r="9" ht="15" hidden="0" customHeight="1">
      <x:c r="A9" s="169" t="str">
        <x:v>公司整体签约折扣</x:v>
      </x:c>
      <x:c r="B9" s="232" t="n">
        <x:v>0.92</x:v>
      </x:c>
      <x:c r="C9" s="169" t="str">
        <x:v>百分比</x:v>
      </x:c>
      <x:c r="D9" s="169" t="str">
        <x:v>按原系统+Agent整体签约的商业折扣。</x:v>
      </x:c>
      <x:c r="E9" s="169"/>
      <x:c r="F9" s="169"/>
      <x:c r="G9" s="169"/>
      <x:c r="H9" s="169"/>
    </x:row>
    <x:row r="10" ht="15" hidden="0" customHeight="1">
      <x:c r="A10" s="169" t="str">
        <x:v>个人整体签约折扣</x:v>
      </x:c>
      <x:c r="B10" s="232" t="n">
        <x:v>0.9</x:v>
      </x:c>
      <x:c r="C10" s="169" t="str">
        <x:v>百分比</x:v>
      </x:c>
      <x:c r="D10" s="169" t="str">
        <x:v>个人整体承接的包干折扣。</x:v>
      </x:c>
      <x:c r="E10" s="169"/>
      <x:c r="F10" s="169"/>
      <x:c r="G10" s="169"/>
      <x:c r="H10" s="169"/>
    </x:row>
    <x:row r="11" ht="15" hidden="0" customHeight="1">
      <x:c r="A11" s="169" t="str">
        <x:v>公司增值税示例</x:v>
      </x:c>
      <x:c r="B11" s="232" t="n">
        <x:v>0.06</x:v>
      </x:c>
      <x:c r="C11" s="169" t="str">
        <x:v>百分比</x:v>
      </x:c>
      <x:c r="D11" s="169" t="str">
        <x:v>仅为一般纳税人现代服务常见示例；实际以报价主体税务资格为准。</x:v>
      </x:c>
      <x:c r="E11" s="169"/>
      <x:c r="F11" s="169"/>
      <x:c r="G11" s="169"/>
      <x:c r="H11" s="169"/>
    </x:row>
    <x:row r="12" ht="15" hidden="0" customHeight="1">
      <x:c r="A12" s="169" t="str">
        <x:v>个人开票附加预留</x:v>
      </x:c>
      <x:c r="B12" s="232" t="n">
        <x:v>0.03</x:v>
      </x:c>
      <x:c r="C12" s="169" t="str">
        <x:v>百分比</x:v>
      </x:c>
      <x:c r="D12" s="169" t="str">
        <x:v>预留增值税及附加/代开差异，不代表最终个人所得税。</x:v>
      </x:c>
      <x:c r="E12" s="169"/>
      <x:c r="F12" s="169"/>
      <x:c r="G12" s="169"/>
      <x:c r="H12" s="169"/>
    </x:row>
    <x:row r="13" ht="15" hidden="0" customHeight="1">
      <x:c r="A13" s="169" t="str">
        <x:v>公司质保期</x:v>
      </x:c>
      <x:c r="B13" s="233" t="n">
        <x:v>12</x:v>
      </x:c>
      <x:c r="C13" s="169" t="str">
        <x:v>月</x:v>
      </x:c>
      <x:c r="D13" s="169" t="str">
        <x:v>建议含12个月缺陷质保，不含新增需求。</x:v>
      </x:c>
      <x:c r="E13" s="169"/>
      <x:c r="F13" s="169"/>
      <x:c r="G13" s="169"/>
      <x:c r="H13" s="169"/>
    </x:row>
    <x:row r="14" ht="15" hidden="0" customHeight="1">
      <x:c r="A14" s="169" t="str">
        <x:v>个人质保期</x:v>
      </x:c>
      <x:c r="B14" s="233" t="n">
        <x:v>3</x:v>
      </x:c>
      <x:c r="C14" s="169" t="str">
        <x:v>月</x:v>
      </x:c>
      <x:c r="D14" s="169" t="str">
        <x:v>建议含3个月缺陷质保，延长需加价。</x:v>
      </x:c>
      <x:c r="E14" s="169"/>
      <x:c r="F14" s="169"/>
      <x:c r="G14" s="169"/>
      <x:c r="H14" s="169"/>
    </x:row>
    <x:row r="15" ht="15" hidden="0" customHeight="1">
      <x:c r="A15" s="169" t="str">
        <x:v>公司首年运维比例</x:v>
      </x:c>
      <x:c r="B15" s="232" t="n">
        <x:v>0.12</x:v>
      </x:c>
      <x:c r="C15" s="169" t="str">
        <x:v>百分比/年</x:v>
      </x:c>
      <x:c r="D15" s="169" t="str">
        <x:v>建议按软件签约价的12%/年；云资源、模型、驻场另计。</x:v>
      </x:c>
      <x:c r="E15" s="169"/>
      <x:c r="F15" s="169"/>
      <x:c r="G15" s="169"/>
      <x:c r="H15" s="169"/>
    </x:row>
    <x:row r="16" ht="15" hidden="0" customHeight="1">
      <x:c r="A16" s="169" t="str">
        <x:v>个人首年运维比例</x:v>
      </x:c>
      <x:c r="B16" s="232" t="n">
        <x:v>0.08</x:v>
      </x:c>
      <x:c r="C16" s="169" t="str">
        <x:v>百分比/年</x:v>
      </x:c>
      <x:c r="D16" s="169" t="str">
        <x:v>建议按软件签约价的8%/年；响应窗口和工时需封顶。</x:v>
      </x:c>
      <x:c r="E16" s="169"/>
      <x:c r="F16" s="169"/>
      <x:c r="G16" s="169"/>
      <x:c r="H16" s="169"/>
    </x:row>
    <x:row r="17" ht="15" hidden="0" customHeight="1">
      <x:c r="A17" s="169" t="str">
        <x:v>报价有效期</x:v>
      </x:c>
      <x:c r="B17" s="233" t="n">
        <x:v>30</x:v>
      </x:c>
      <x:c r="C17" s="169" t="str">
        <x:v>天</x:v>
      </x:c>
      <x:c r="D17" s="169" t="str">
        <x:v>正式报价建议保留30天有效期。</x:v>
      </x:c>
      <x:c r="E17" s="169"/>
      <x:c r="F17" s="169"/>
      <x:c r="G17" s="169"/>
      <x:c r="H17" s="169"/>
    </x:row>
    <x:row r="18" ht="15" hidden="0" customHeight="1">
      <x:c r="A18" s="169" t="str">
        <x:v>预付款比例</x:v>
      </x:c>
      <x:c r="B18" s="232" t="n">
        <x:v>0.3</x:v>
      </x:c>
      <x:c r="C18" s="169" t="str">
        <x:v>百分比</x:v>
      </x:c>
      <x:c r="D18" s="169" t="str">
        <x:v>建议30%预付款、40%里程碑、20%UAT、10%质保尾款。</x:v>
      </x:c>
      <x:c r="E18" s="169"/>
      <x:c r="F18" s="169"/>
      <x:c r="G18" s="169"/>
      <x:c r="H18" s="169"/>
    </x:row>
    <x:row r="19">
      <x:c r="A19" s="169"/>
      <x:c r="B19" s="169"/>
      <x:c r="C19" s="169"/>
      <x:c r="D19" s="169"/>
      <x:c r="E19" s="169"/>
      <x:c r="F19" s="169"/>
      <x:c r="G19" s="169"/>
      <x:c r="H19" s="169"/>
    </x:row>
    <x:row r="20" ht="15" hidden="0" customHeight="1">
      <x:c r="A20" s="171" t="str">
        <x:v>计价方法</x:v>
      </x:c>
      <x:c r="B20" s="172" t="str">
        <x:v>口径</x:v>
      </x:c>
      <x:c r="C20" s="172" t="str">
        <x:v>为何这样算</x:v>
      </x:c>
      <x:c r="D20" s="172" t="str">
        <x:v>不等于什么</x:v>
      </x:c>
      <x:c r="E20" s="172" t="str">
        <x:v>风险处理</x:v>
      </x:c>
      <x:c r="F20" s="172" t="str">
        <x:v>建议用途</x:v>
      </x:c>
      <x:c r="G20" s="172" t="str">
        <x:v>可比性</x:v>
      </x:c>
      <x:c r="H20" s="173" t="str">
        <x:v>备注</x:v>
      </x:c>
    </x:row>
    <x:row r="21" ht="32.400001525878906" hidden="0" customHeight="1">
      <x:c r="A21" s="189" t="str">
        <x:v>等价重置开发法</x:v>
      </x:c>
      <x:c r="B21" s="189" t="str">
        <x:v>基础人天×复杂度系数×主体日费率</x:v>
      </x:c>
      <x:c r="C21" s="189" t="str">
        <x:v>代码已有大量工程证据，按可复现开发工作量比单纯按代码行更合理。</x:v>
      </x:c>
      <x:c r="D21" s="189" t="str">
        <x:v>不是历史实际投入审计，也不是知识产权交易估值。</x:v>
      </x:c>
      <x:c r="E21" s="189" t="str">
        <x:v>复杂业务、安全、硬件/现场、Agent复合工程提高系数。</x:v>
      </x:c>
      <x:c r="F21" s="189" t="str">
        <x:v>新建预算、源码价值说明、对外商务锚点。</x:v>
      </x:c>
      <x:c r="G21" s="189" t="str">
        <x:v>可与行业人月/功能点基准互相校验。</x:v>
      </x:c>
      <x:c r="H21" s="189" t="str">
        <x:v>含需求、设计、开发、测试、联调与基础文档。</x:v>
      </x:c>
    </x:row>
    <x:row r="22" ht="21.600000381469727" hidden="0" customHeight="1">
      <x:c r="A22" s="191" t="str">
        <x:v>当前状态折算</x:v>
      </x:c>
      <x:c r="B22" s="191" t="str">
        <x:v>成熟度和生产门禁在功能表与缺口表中单列</x:v>
      </x:c>
      <x:c r="C22" s="191" t="str">
        <x:v>避免把已写代码误当成已全面商用。</x:v>
      </x:c>
      <x:c r="D22" s="191" t="str">
        <x:v>不直接按完成百分比粗暴打折。</x:v>
      </x:c>
      <x:c r="E22" s="191" t="str">
        <x:v>未生产放行能力不得按可用SLA承诺。</x:v>
      </x:c>
      <x:c r="F22" s="191" t="str">
        <x:v>接手、尾款、收尾预算和风险谈判。</x:v>
      </x:c>
      <x:c r="G22" s="191" t="str">
        <x:v>需结合甲方已有材料、数据和环境。</x:v>
      </x:c>
      <x:c r="H22" s="191" t="str">
        <x:v>本表重置价与生产化预算应分别看。</x:v>
      </x:c>
    </x:row>
    <x:row r="23" ht="32.400001525878906" hidden="0" customHeight="1">
      <x:c r="A23" s="191" t="str">
        <x:v>公司报价</x:v>
      </x:c>
      <x:c r="B23" s="191" t="str">
        <x:v>含组织连续性、项目管理、正式合同/发票、质保与SLA成本</x:v>
      </x:c>
      <x:c r="C23" s="191" t="str">
        <x:v>客户购买的不只是编码工时，还包括交付责任。</x:v>
      </x:c>
      <x:c r="D23" s="191" t="str">
        <x:v>税率不是利润率。</x:v>
      </x:c>
      <x:c r="E23" s="191" t="str">
        <x:v>人员冗余、售后、合规和回款风险形成溢价。</x:v>
      </x:c>
      <x:c r="F23" s="191" t="str">
        <x:v>B2B、招采、长期运维、生产上线。</x:v>
      </x:c>
      <x:c r="G23" s="191" t="str">
        <x:v>通常高于个人报价。</x:v>
      </x:c>
      <x:c r="H23" s="191" t="str">
        <x:v>税率需以实际主体资格确认。</x:v>
      </x:c>
    </x:row>
    <x:row r="24" ht="32.400001525878906" hidden="0" customHeight="1">
      <x:c r="A24" s="191" t="str">
        <x:v>个人报价</x:v>
      </x:c>
      <x:c r="B24" s="191" t="str">
        <x:v>精简管理成本，主要由核心开发者直接交付</x:v>
      </x:c>
      <x:c r="C24" s="191" t="str">
        <x:v>适合预算敏感、沟通链路短、需求边界清晰的项目。</x:v>
      </x:c>
      <x:c r="D24" s="191" t="str">
        <x:v>不代表可以无限期免费维护。</x:v>
      </x:c>
      <x:c r="E24" s="191" t="str">
        <x:v>单点人力、并发、发票、驻场和长期SLA能力较弱。</x:v>
      </x:c>
      <x:c r="F24" s="191" t="str">
        <x:v>原型、阶段开发、技术顾问、小范围迭代。</x:v>
      </x:c>
      <x:c r="G24" s="191" t="str">
        <x:v>合同应明确工时上限和响应窗口。</x:v>
      </x:c>
      <x:c r="H24" s="191" t="str">
        <x:v>大额项目需咨询会计/税务。</x:v>
      </x:c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61d201f1d7154210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0" hidden="0" customWidth="1"/>
    <x:col min="3" max="3" width="66" hidden="0" customWidth="1"/>
    <x:col min="4" max="4" width="84" hidden="0" customWidth="1"/>
    <x:col min="5" max="5" width="42" hidden="0" customWidth="1"/>
  </x:cols>
  <x:sheetData>
    <x:row r="1" ht="32" customHeight="1">
      <x:c r="A1" s="168" t="str">
        <x:v>依据、证据与外部参考</x:v>
      </x:c>
      <x:c r="B1" s="169"/>
      <x:c r="C1" s="169"/>
      <x:c r="D1" s="169"/>
      <x:c r="E1" s="169"/>
    </x:row>
    <x:row r="2" ht="34" customHeight="1">
      <x:c r="A2" s="170" t="str">
        <x:v>本报价优先以当前代码和最近验收文档为事实；外部行业资料只用于校验计价方法和市场合理性。网址以纯文本保留，便于审计。</x:v>
      </x:c>
      <x:c r="B2" s="169"/>
      <x:c r="C2" s="169"/>
      <x:c r="D2" s="169"/>
      <x:c r="E2" s="169"/>
    </x:row>
    <x:row r="3">
      <x:c r="A3" s="169"/>
      <x:c r="B3" s="169"/>
      <x:c r="C3" s="169"/>
      <x:c r="D3" s="169"/>
      <x:c r="E3" s="169"/>
    </x:row>
    <x:row r="4" ht="34" customHeight="1">
      <x:c r="A4" s="171" t="str">
        <x:v>类型</x:v>
      </x:c>
      <x:c r="B4" s="172" t="str">
        <x:v>名称</x:v>
      </x:c>
      <x:c r="C4" s="172" t="str">
        <x:v>支持的判断</x:v>
      </x:c>
      <x:c r="D4" s="172" t="str">
        <x:v>文件/URL</x:v>
      </x:c>
      <x:c r="E4" s="173" t="str">
        <x:v>备注</x:v>
      </x:c>
    </x:row>
    <x:row r="5" ht="54" customHeight="1">
      <x:c r="A5" s="189" t="str">
        <x:v>项目事实</x:v>
      </x:c>
      <x:c r="B5" s="189" t="str">
        <x:v>项目全量复审与发布就绪性结论</x:v>
      </x:c>
      <x:c r="C5" s="189" t="str">
        <x:v>2026-08-13前最新复审：本地工程基线PASS、shadow浏览器UAT PASS、生产发布NO-GO；含测试数、P0/P1和性能结论。</x:v>
      </x:c>
      <x:c r="D5" s="189" t="str">
        <x:v>docs/agent/project-holistic-reaudit-and-release-readiness-2026-08-12.md</x:v>
      </x:c>
      <x:c r="E5" s="189" t="str">
        <x:v>项目内证据；交易前应以冻结Git提交复跑。</x:v>
      </x:c>
    </x:row>
    <x:row r="6" ht="54" customHeight="1">
      <x:c r="A6" s="191" t="str">
        <x:v>项目事实</x:v>
      </x:c>
      <x:c r="B6" s="191" t="str">
        <x:v>系统能力地图</x:v>
      </x:c>
      <x:c r="C6" s="191" t="str">
        <x:v>原系统模块、主业务链路、成熟度和第一版MCP边界。</x:v>
      </x:c>
      <x:c r="D6" s="191" t="str">
        <x:v>docs/mcp-analysis/system-capability-map.md</x:v>
      </x:c>
      <x:c r="E6" s="191" t="str">
        <x:v>项目内证据；交易前应以冻结Git提交复跑。</x:v>
      </x:c>
    </x:row>
    <x:row r="7" ht="54" customHeight="1">
      <x:c r="A7" s="191" t="str">
        <x:v>项目事实</x:v>
      </x:c>
      <x:c r="B7" s="191" t="str">
        <x:v>MCP工具登记表</x:v>
      </x:c>
      <x:c r="C7" s="191" t="str">
        <x:v>当前工具状态、风险等级、L1/L2/L3边界、报表和预览能力。</x:v>
      </x:c>
      <x:c r="D7" s="191" t="str">
        <x:v>docs/mcp/mcp-tool-registry.md</x:v>
      </x:c>
      <x:c r="E7" s="191" t="str">
        <x:v>项目内证据；交易前应以冻结Git提交复跑。</x:v>
      </x:c>
    </x:row>
    <x:row r="8" ht="54" customHeight="1">
      <x:c r="A8" s="191" t="str">
        <x:v>项目事实</x:v>
      </x:c>
      <x:c r="B8" s="191" t="str">
        <x:v>AI助手产品目标</x:v>
      </x:c>
      <x:c r="C8" s="191" t="str">
        <x:v>Agent目标、工具/专家/报表/RAG/安全边界与路线。</x:v>
      </x:c>
      <x:c r="D8" s="191" t="str">
        <x:v>docs/agent/ai-assistant-product-goal.md</x:v>
      </x:c>
      <x:c r="E8" s="191" t="str">
        <x:v>项目内证据；交易前应以冻结Git提交复跑。</x:v>
      </x:c>
    </x:row>
    <x:row r="9" ht="54" customHeight="1">
      <x:c r="A9" s="191" t="str">
        <x:v>项目事实</x:v>
      </x:c>
      <x:c r="B9" s="191" t="str">
        <x:v>Agent v1最终验收</x:v>
      </x:c>
      <x:c r="C9" s="191" t="str">
        <x:v>9专家、47个L1工具、测试与隔离E2E证据；正式生产仍NO-GO。</x:v>
      </x:c>
      <x:c r="D9" s="191" t="str">
        <x:v>docs/agent/agent-v1-acceptance-report.md</x:v>
      </x:c>
      <x:c r="E9" s="191" t="str">
        <x:v>项目内证据；交易前应以冻结Git提交复跑。</x:v>
      </x:c>
    </x:row>
    <x:row r="10" ht="54" customHeight="1">
      <x:c r="A10" s="191" t="str">
        <x:v>行业基准</x:v>
      </x:c>
      <x:c r="B10" s="191" t="str">
        <x:v>2025中国软件行业基准数据发布解读</x:v>
      </x:c>
      <x:c r="C10" s="191" t="str">
        <x:v>全行业开发生产率中值6.72人时/功能点；北京功能点单价1243.52元；需求/测试/实施占比提升。</x:v>
      </x:c>
      <x:c r="D10" s="191" t="str">
        <x:v>https://bscea.org/html/news/2025/1031/3151.html</x:v>
      </x:c>
      <x:c r="E10" s="191" t="str">
        <x:v>外部公开参考；不替代正式造价鉴定或税务意见。</x:v>
      </x:c>
    </x:row>
    <x:row r="11" ht="54" customHeight="1">
      <x:c r="A11" s="191" t="str">
        <x:v>造价标准</x:v>
      </x:c>
      <x:c r="B11" s="191" t="str">
        <x:v>T/CCUA 060—2025 信息化项目造价评估</x:v>
      </x:c>
      <x:c r="C11" s="191" t="str">
        <x:v>费用应区分定制开发、基础设施/资源租赁、集成实施、运维、安全服务等；可用经验、类比、类推和方程法。</x:v>
      </x:c>
      <x:c r="D11" s="191" t="str">
        <x:v>https://www.ttbz.org.cn/standardDetail.html?id=w0c8bi87ymuzodinlyvyztnpisnijsg</x:v>
      </x:c>
      <x:c r="E11" s="191" t="str">
        <x:v>外部公开参考；不替代正式造价鉴定或税务意见。</x:v>
      </x:c>
    </x:row>
    <x:row r="12" ht="54" customHeight="1">
      <x:c r="A12" s="191" t="str">
        <x:v>税务口径</x:v>
      </x:c>
      <x:c r="B12" s="191" t="str">
        <x:v>国家税务总局公告2026年第4号</x:v>
      </x:c>
      <x:c r="C12" s="191" t="str">
        <x:v>自然人代开发票的增值税征管及小规模纳税人符合条件时1%开票口径；实际税负需按主体所在地/资格核定。</x:v>
      </x:c>
      <x:c r="D12" s="191" t="str">
        <x:v>https://fgk.chinatax.gov.cn/zcfgk/c100012/c5247426/content.html</x:v>
      </x:c>
      <x:c r="E12" s="191" t="str">
        <x:v>外部公开参考；不替代正式造价鉴定或税务意见。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62" hidden="0" customWidth="1"/>
    <x:col min="3" max="3" width="27" hidden="0" customWidth="1"/>
    <x:col min="4" max="4" width="31" hidden="0" customWidth="1"/>
    <x:col min="5" max="5" width="46" hidden="0" customWidth="1"/>
    <x:col min="6" max="6" width="42" hidden="0" customWidth="1"/>
  </x:cols>
  <x:sheetData>
    <x:row r="1" ht="32" customHeight="1">
      <x:c r="A1" s="168" t="str">
        <x:v>报价表使用说明</x:v>
      </x:c>
      <x:c r="B1" s="169"/>
      <x:c r="C1" s="169"/>
      <x:c r="D1" s="169"/>
      <x:c r="E1" s="169"/>
      <x:c r="F1" s="169"/>
    </x:row>
    <x:row r="2" ht="34" customHeight="1">
      <x:c r="A2" s="170" t="str">
        <x:v>此文件可直接用于内部预算或作为对外报价底稿；正式发客户前请填写公司/个人信息、客户名称、项目范围和报价有效期。</x:v>
      </x:c>
      <x:c r="B2" s="169"/>
      <x:c r="C2" s="169"/>
      <x:c r="D2" s="169"/>
      <x:c r="E2" s="169"/>
      <x:c r="F2" s="169"/>
    </x:row>
    <x:row r="3">
      <x:c r="A3" s="169"/>
      <x:c r="B3" s="169"/>
      <x:c r="C3" s="169"/>
      <x:c r="D3" s="169"/>
      <x:c r="E3" s="169"/>
      <x:c r="F3" s="169"/>
    </x:row>
    <x:row r="4" ht="34" customHeight="1">
      <x:c r="A4" s="171" t="str">
        <x:v>步骤</x:v>
      </x:c>
      <x:c r="B4" s="172" t="str">
        <x:v>怎么做</x:v>
      </x:c>
      <x:c r="C4" s="172" t="str">
        <x:v>看哪个工作表</x:v>
      </x:c>
      <x:c r="D4" s="172" t="str">
        <x:v>输出</x:v>
      </x:c>
      <x:c r="E4" s="172" t="str">
        <x:v>必须确认</x:v>
      </x:c>
      <x:c r="F4" s="173" t="str">
        <x:v>常见误区</x:v>
      </x:c>
    </x:row>
    <x:row r="5" ht="56" customHeight="1">
      <x:c r="A5" s="224" t="n">
        <x:v>1</x:v>
      </x:c>
      <x:c r="B5" s="189" t="str">
        <x:v>先在“计价假设”黄色格调整公司/个人费率、折扣、税务预留、质保和运维比例。</x:v>
      </x:c>
      <x:c r="C5" s="189" t="str">
        <x:v>计价假设</x:v>
      </x:c>
      <x:c r="D5" s="189" t="str">
        <x:v>自动更新所有报价</x:v>
      </x:c>
      <x:c r="E5" s="189" t="str">
        <x:v>实际主体纳税资格、客户发票要求</x:v>
      </x:c>
      <x:c r="F5" s="189" t="str">
        <x:v>把税率直接当利润或折扣</x:v>
      </x:c>
    </x:row>
    <x:row r="6" ht="56" customHeight="1">
      <x:c r="A6" s="227" t="n">
        <x:v>2</x:v>
      </x:c>
      <x:c r="B6" s="191" t="str">
        <x:v>选择对外身份。正式生产、招采、长期SLA优先公司；阶段迭代可选个人。</x:v>
      </x:c>
      <x:c r="C6" s="191" t="str">
        <x:v>身份与方案对比</x:v>
      </x:c>
      <x:c r="D6" s="191" t="str">
        <x:v>确定报价责任边界</x:v>
      </x:c>
      <x:c r="E6" s="191" t="str">
        <x:v>合同主体、付款方式、IP和保密</x:v>
      </x:c>
      <x:c r="F6" s="191" t="str">
        <x:v>个人低价承诺公司级责任</x:v>
      </x:c>
    </x:row>
    <x:row r="7" ht="56" customHeight="1">
      <x:c r="A7" s="227" t="n">
        <x:v>3</x:v>
      </x:c>
      <x:c r="B7" s="191" t="str">
        <x:v>确认客户购买范围：原系统、Agent增量，还是整套。</x:v>
      </x:c>
      <x:c r="C7" s="191" t="str">
        <x:v>报价总览/两张功能报价</x:v>
      </x:c>
      <x:c r="D7" s="191" t="str">
        <x:v>形成主报价</x:v>
      </x:c>
      <x:c r="E7" s="191" t="str">
        <x:v>同版本WMS依赖、是否含小程序/打印/部署</x:v>
      </x:c>
      <x:c r="F7" s="191" t="str">
        <x:v>把Agent报价当作仅接一个模型API</x:v>
      </x:c>
    </x:row>
    <x:row r="8" ht="56" customHeight="1">
      <x:c r="A8" s="227" t="n">
        <x:v>4</x:v>
      </x:c>
      <x:c r="B8" s="191" t="str">
        <x:v>逐功能讲价值和当前实现，必要时删除明确不在客户范围的行，并同步调整人天。</x:v>
      </x:c>
      <x:c r="C8" s="191" t="str">
        <x:v>原系统报价/Agent报价</x:v>
      </x:c>
      <x:c r="D8" s="191" t="str">
        <x:v>形成客户版功能清单</x:v>
      </x:c>
      <x:c r="E8" s="191" t="str">
        <x:v>删减是否破坏公共底座或跨模块依赖</x:v>
      </x:c>
      <x:c r="F8" s="191" t="str">
        <x:v>按按钮数量机械砍价</x:v>
      </x:c>
    </x:row>
    <x:row r="9" ht="56" customHeight="1">
      <x:c r="A9" s="227" t="n">
        <x:v>5</x:v>
      </x:c>
      <x:c r="B9" s="191" t="str">
        <x:v>把生产化缺口作为独立阶段，不与重置开发价混在一起。</x:v>
      </x:c>
      <x:c r="C9" s="191" t="str">
        <x:v>生产化缺口</x:v>
      </x:c>
      <x:c r="D9" s="191" t="str">
        <x:v>形成上线预算和前置条件</x:v>
      </x:c>
      <x:c r="E9" s="191" t="str">
        <x:v>目标环境、告警、真实UAT、RAG资产、性能目标</x:v>
      </x:c>
      <x:c r="F9" s="191" t="str">
        <x:v>把NO-GO表述成已商用</x:v>
      </x:c>
    </x:row>
    <x:row r="10" ht="56" customHeight="1">
      <x:c r="A10" s="227" t="n">
        <x:v>6</x:v>
      </x:c>
      <x:c r="B10" s="191" t="str">
        <x:v>把云资源、模型Token、短信/企微、打印机/耗材、证书、差旅、驻场列为第三方或实报实销。</x:v>
      </x:c>
      <x:c r="C10" s="191" t="str">
        <x:v>本页/合同附件</x:v>
      </x:c>
      <x:c r="D10" s="191" t="str">
        <x:v>避免亏损和责任争议</x:v>
      </x:c>
      <x:c r="E10" s="191" t="str">
        <x:v>用量、供应商、付款方、涨价机制</x:v>
      </x:c>
      <x:c r="F10" s="191" t="str">
        <x:v>开发总价无限包运行费</x:v>
      </x:c>
    </x:row>
    <x:row r="11" ht="56" customHeight="1">
      <x:c r="A11" s="227" t="n">
        <x:v>7</x:v>
      </x:c>
      <x:c r="B11" s="191" t="str">
        <x:v>签约前冻结Git提交并复跑测试/构建/浏览器验收，形成交付基线。</x:v>
      </x:c>
      <x:c r="C11" s="191" t="str">
        <x:v>依据与证据</x:v>
      </x:c>
      <x:c r="D11" s="191" t="str">
        <x:v>验收附件</x:v>
      </x:c>
      <x:c r="E11" s="191" t="str">
        <x:v>数据库/测试账号/密钥由甲方受控提供</x:v>
      </x:c>
      <x:c r="F11" s="191" t="str">
        <x:v>只引用旧报告不复验</x:v>
      </x:c>
    </x:row>
    <x:row r="12">
      <x:c r="A12" s="169"/>
      <x:c r="B12" s="169"/>
      <x:c r="C12" s="169"/>
      <x:c r="D12" s="169"/>
      <x:c r="E12" s="169"/>
      <x:c r="F12" s="169"/>
    </x:row>
    <x:row r="13">
      <x:c r="A13" s="169"/>
      <x:c r="B13" s="169"/>
      <x:c r="C13" s="169"/>
      <x:c r="D13" s="169"/>
      <x:c r="E13" s="169"/>
      <x:c r="F13" s="169"/>
    </x:row>
    <x:row r="14">
      <x:c r="A14" s="234" t="str">
        <x:v>正式报价建议附加条款</x:v>
      </x:c>
      <x:c r="B14" s="169"/>
      <x:c r="C14" s="169"/>
      <x:c r="D14" s="169"/>
      <x:c r="E14" s="169"/>
      <x:c r="F14" s="169"/>
    </x:row>
    <x:row r="15" ht="34" customHeight="1">
      <x:c r="A15" s="235" t="str">
        <x:v>1. 报价为当前已识别范围的定制软件交付价；新增需求、数据清洗、第三方接口变更按变更单计价。</x:v>
      </x:c>
      <x:c r="B15" s="235"/>
      <x:c r="C15" s="235"/>
      <x:c r="D15" s="235"/>
      <x:c r="E15" s="235"/>
      <x:c r="F15" s="235"/>
    </x:row>
    <x:row r="16" ht="34" customHeight="1">
      <x:c r="A16" s="235" t="str">
        <x:v>2. 生产环境云资源、数据库、Redis、域名/证书、模型调用、OCR/嵌入模型、短信/企微、硬件及耗材不含在软件价。</x:v>
      </x:c>
      <x:c r="B16" s="235"/>
      <x:c r="C16" s="235"/>
      <x:c r="D16" s="235"/>
      <x:c r="E16" s="235"/>
      <x:c r="F16" s="235"/>
    </x:row>
    <x:row r="17" ht="34" customHeight="1">
      <x:c r="A17" s="235" t="str">
        <x:v>3. Agent回答受模型、数据质量、权限和工具可用性影响；以结构化工具事实和登记报表为准，不承诺模型永不出错。</x:v>
      </x:c>
      <x:c r="B17" s="235"/>
      <x:c r="C17" s="235"/>
      <x:c r="D17" s="235"/>
      <x:c r="E17" s="235"/>
      <x:c r="F17" s="235"/>
    </x:row>
    <x:row r="18" ht="34" customHeight="1">
      <x:c r="A18" s="235" t="str">
        <x:v>4. 任何库存写操作必须保持预览、用户确认、幂等、状态重检、事务、审计与灰度；未批准前默认关闭。</x:v>
      </x:c>
      <x:c r="B18" s="235"/>
      <x:c r="C18" s="235"/>
      <x:c r="D18" s="235"/>
      <x:c r="E18" s="235"/>
      <x:c r="F18" s="235"/>
    </x:row>
    <x:row r="19" ht="34" customHeight="1">
      <x:c r="A19" s="235" t="str">
        <x:v>5. 缺陷修复与新增需求定义应写入合同；超出质保期或SLA范围按运维包/工时另计。</x:v>
      </x:c>
      <x:c r="B19" s="235"/>
      <x:c r="C19" s="235"/>
      <x:c r="D19" s="235"/>
      <x:c r="E19" s="235"/>
      <x:c r="F19" s="235"/>
    </x:row>
    <x:row r="20" ht="34" customHeight="1">
      <x:c r="A20" s="235" t="str">
        <x:v>6. 付款建议：30%预付款、40%里程碑、20%UAT、10%质保尾款；也可按客户资信调整。</x:v>
      </x:c>
      <x:c r="B20" s="235"/>
      <x:c r="C20" s="235"/>
      <x:c r="D20" s="235"/>
      <x:c r="E20" s="235"/>
      <x:c r="F20" s="235"/>
    </x:row>
    <x:row r="21" ht="34" customHeight="1">
      <x:c r="A21" s="235" t="str">
        <x:v>7. 本表是商务估算，不替代第三方软件造价鉴定、审计报告、法律意见或税务意见。</x:v>
      </x:c>
      <x:c r="B21" s="235"/>
      <x:c r="C21" s="235"/>
      <x:c r="D21" s="235"/>
      <x:c r="E21" s="235"/>
      <x:c r="F21" s="235"/>
    </x:row>
  </x:sheetData>
  <x:mergeCells>
    <x:mergeCell ref="A1:F1"/>
    <x:mergeCell ref="A2:F2"/>
    <x:mergeCell ref="A14:F14"/>
    <x:mergeCell ref="A15:F15"/>
    <x:mergeCell ref="A16:F16"/>
    <x:mergeCell ref="A17:F17"/>
    <x:mergeCell ref="A18:F18"/>
    <x:mergeCell ref="A19:F19"/>
    <x:mergeCell ref="A20:F20"/>
    <x:mergeCell ref="A21:F21"/>
  </x:mergeCells>
  <x:pageMargins left="0.7" right="0.7" top="0.75" bottom="0.75" header="0.3" footer="0.3"/>
</x:worksheet>
</file>